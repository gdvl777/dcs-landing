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https://fepdpygestion-my.sharepoint.com/personal/freddypdp_fe-pdpygestion_com/Documents/Documentos/FE PDP y GESTIÓN/2026/MONTANA ECUADOR/3 REUNIÓN 23 DE ABRIL/"/>
    </mc:Choice>
  </mc:AlternateContent>
  <xr:revisionPtr revIDLastSave="0" documentId="8_{85FB0B3B-87CD-9947-B5C8-4A5DE7D20C54}" xr6:coauthVersionLast="47" xr6:coauthVersionMax="47" xr10:uidLastSave="{00000000-0000-0000-0000-000000000000}"/>
  <bookViews>
    <workbookView xWindow="-108" yWindow="-108" windowWidth="23256" windowHeight="12456" activeTab="3" xr2:uid="{00000000-000D-0000-FFFF-FFFF00000000}"/>
  </bookViews>
  <sheets>
    <sheet name="CRITERIOS MTGE" sheetId="7" r:id="rId1"/>
    <sheet name="RAT - MTGE" sheetId="6" r:id="rId2"/>
    <sheet name="PATD 1 - CASETA GUARDIA X 6" sheetId="28" r:id="rId3"/>
    <sheet name="RAT - MTGE - BIOMÉTRICO" sheetId="29" r:id="rId4"/>
    <sheet name="RAT - MTGE - CAMARA CALLE" sheetId="30" r:id="rId5"/>
    <sheet name="RAT - MTGE - FORMAT VISITS REG" sheetId="31" r:id="rId6"/>
    <sheet name="RAT - MTGE - MONITOREO 24-7" sheetId="32" r:id="rId7"/>
    <sheet name="RAT - MTGE - REG TEMP FORM FISI" sheetId="33" r:id="rId8"/>
    <sheet name="RAT - MTGE - REG COMIDA FOR" sheetId="34" r:id="rId9"/>
    <sheet name="FAC. INSUMOS MÉDICOS ENTREGA." sheetId="18" state="hidden"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2" i="34" l="1"/>
  <c r="X12" i="34"/>
  <c r="W12" i="34"/>
  <c r="V12" i="34"/>
  <c r="X9" i="34"/>
  <c r="W9" i="34"/>
  <c r="V9" i="34"/>
  <c r="U9" i="34"/>
  <c r="T9" i="34"/>
  <c r="Q9" i="34"/>
  <c r="O9" i="34"/>
  <c r="U12" i="33"/>
  <c r="X12" i="33"/>
  <c r="W12" i="33"/>
  <c r="V12" i="33"/>
  <c r="X9" i="33"/>
  <c r="W9" i="33"/>
  <c r="V9" i="33"/>
  <c r="U9" i="33"/>
  <c r="T9" i="33"/>
  <c r="Q9" i="33"/>
  <c r="O9" i="33"/>
  <c r="U12" i="32"/>
  <c r="X12" i="32"/>
  <c r="W12" i="32"/>
  <c r="V12" i="32"/>
  <c r="X9" i="32"/>
  <c r="W9" i="32"/>
  <c r="V9" i="32"/>
  <c r="U9" i="32"/>
  <c r="T9" i="32"/>
  <c r="Q9" i="32"/>
  <c r="O9" i="32"/>
  <c r="U12" i="31"/>
  <c r="X12" i="31"/>
  <c r="W12" i="31"/>
  <c r="V12" i="31"/>
  <c r="X9" i="31"/>
  <c r="W9" i="31"/>
  <c r="V9" i="31"/>
  <c r="U9" i="31"/>
  <c r="T9" i="31"/>
  <c r="Q9" i="31"/>
  <c r="O9" i="31"/>
  <c r="U12" i="30"/>
  <c r="X12" i="30"/>
  <c r="W12" i="30"/>
  <c r="V12" i="30"/>
  <c r="X9" i="30"/>
  <c r="W9" i="30"/>
  <c r="V9" i="30"/>
  <c r="U9" i="30"/>
  <c r="T9" i="30"/>
  <c r="Q9" i="30"/>
  <c r="O9" i="30"/>
  <c r="U12" i="29"/>
  <c r="X12" i="29"/>
  <c r="X9" i="29"/>
  <c r="W9" i="29"/>
  <c r="V9" i="29"/>
  <c r="U9" i="29"/>
  <c r="T9" i="29"/>
  <c r="Q9" i="29"/>
  <c r="O9" i="29"/>
  <c r="U12" i="18"/>
  <c r="X12" i="18"/>
  <c r="W12" i="18"/>
  <c r="V12" i="18"/>
  <c r="X9" i="18"/>
  <c r="W9" i="18"/>
  <c r="V9" i="18"/>
  <c r="U9" i="18"/>
  <c r="T9" i="18"/>
  <c r="Q9" i="18"/>
  <c r="O9" i="18"/>
  <c r="U12" i="6"/>
  <c r="V12" i="6"/>
  <c r="W12" i="6"/>
  <c r="X12" i="6"/>
  <c r="T9" i="7"/>
  <c r="T8" i="7"/>
  <c r="T7" i="7"/>
  <c r="T9" i="6"/>
  <c r="U9" i="6"/>
  <c r="V9" i="6"/>
  <c r="W9" i="6"/>
  <c r="X9" i="6"/>
  <c r="Q9" i="6"/>
  <c r="O9" i="6"/>
  <c r="V12" i="29"/>
  <c r="W1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J9" authorId="0" shapeId="0" xr:uid="{D679AD61-1F8D-42A4-BB6C-B425CEDD1E4C}">
      <text>
        <r>
          <rPr>
            <b/>
            <sz val="9"/>
            <color indexed="81"/>
            <rFont val="Tahoma"/>
            <family val="2"/>
          </rPr>
          <t>FREDDY V:</t>
        </r>
        <r>
          <rPr>
            <sz val="9"/>
            <color indexed="81"/>
            <rFont val="Tahoma"/>
            <family val="2"/>
          </rPr>
          <t xml:space="preserve">
CONSULTAR AL RESPONSABLE DE SSO PARA VALIDAR LA NECESIDAD DE MANTENER ESTE REGISTRO</t>
        </r>
      </text>
    </comment>
    <comment ref="N9" authorId="0" shapeId="0" xr:uid="{DB8E32F4-A722-4F19-A754-7415650E1118}">
      <text>
        <r>
          <rPr>
            <b/>
            <sz val="9"/>
            <color indexed="81"/>
            <rFont val="Tahoma"/>
            <family val="2"/>
          </rPr>
          <t>FREDDY V:</t>
        </r>
        <r>
          <rPr>
            <sz val="9"/>
            <color indexed="81"/>
            <rFont val="Tahoma"/>
            <family val="2"/>
          </rPr>
          <t xml:space="preserve">
VALIDAR QUE EL PROTOCOLO COVID ESTÉ ACTIVO. ESTO ACTIVARIA LA BASE DE LICITUD 7.4 (INTERÉS PÚBLICO)</t>
        </r>
      </text>
    </comment>
    <comment ref="H11" authorId="0" shapeId="0" xr:uid="{2BAE1CBD-512B-4DC0-AF5F-D4FA02C8D2EA}">
      <text>
        <r>
          <rPr>
            <b/>
            <sz val="9"/>
            <color indexed="81"/>
            <rFont val="Tahoma"/>
            <family val="2"/>
          </rPr>
          <t>FREDDY V:</t>
        </r>
        <r>
          <rPr>
            <sz val="9"/>
            <color indexed="81"/>
            <rFont val="Tahoma"/>
            <family val="2"/>
          </rPr>
          <t xml:space="preserve">
EXISTIA UN  PROTOCOLO COVID QUE YA ESTA EN DESUSO.</t>
        </r>
      </text>
    </comment>
    <comment ref="J11" authorId="0" shapeId="0" xr:uid="{2F2B3BF2-251A-4950-B4EE-24213E854A1D}">
      <text>
        <r>
          <rPr>
            <b/>
            <sz val="9"/>
            <color indexed="81"/>
            <rFont val="Tahoma"/>
            <family val="2"/>
          </rPr>
          <t>FREDDY V:</t>
        </r>
        <r>
          <rPr>
            <sz val="9"/>
            <color indexed="81"/>
            <rFont val="Tahoma"/>
            <family val="2"/>
          </rPr>
          <t xml:space="preserve">
LA FINALIDAD DEL TRATAMIENTO NO JUSTIFICA NINGUNA DE LAS BASES DE LICITUD</t>
        </r>
      </text>
    </comment>
    <comment ref="K11" authorId="0" shapeId="0" xr:uid="{02F4258F-C256-4560-B1E0-FE850410AEF4}">
      <text>
        <r>
          <rPr>
            <b/>
            <sz val="9"/>
            <color indexed="81"/>
            <rFont val="Tahoma"/>
            <family val="2"/>
          </rPr>
          <t>FREDDY V:</t>
        </r>
        <r>
          <rPr>
            <sz val="9"/>
            <color indexed="81"/>
            <rFont val="Tahoma"/>
            <family val="2"/>
          </rPr>
          <t xml:space="preserve">
VERIFICAR SI ESTE TRATAMIENTO SE DEBE MANTENER.</t>
        </r>
      </text>
    </comment>
  </commentList>
</comments>
</file>

<file path=xl/sharedStrings.xml><?xml version="1.0" encoding="utf-8"?>
<sst xmlns="http://schemas.openxmlformats.org/spreadsheetml/2006/main" count="689" uniqueCount="186">
  <si>
    <t>BREVE DESCRIPCION DE LAS MEDIDAS TECNICAS JURIDICAS ADMINISTRATIVAS ORGANIZATIVAS Y FISICAS PARA PROTEGER LOS DATOS</t>
  </si>
  <si>
    <t>ÁREA O DEPARTAMENTO</t>
  </si>
  <si>
    <t>NOMBRE RESPONSABLES DE TRATAMIENTO (38.1-A)</t>
  </si>
  <si>
    <t>DATOS DE CONTACTO RESPONSABLE DE TRATAMIENTO (38.1-B)</t>
  </si>
  <si>
    <t>NOMBRE DELEGADO PROTECCION DATOS (38.1-C)</t>
  </si>
  <si>
    <t>DATOS DE CONTACTO DPD (38.1-D)</t>
  </si>
  <si>
    <t>FINALIDADES DEL TRATAMIENTO (38.2)</t>
  </si>
  <si>
    <t>DESTINATARIOS  (38.3)</t>
  </si>
  <si>
    <t>USO DE PERFILES (38.5)</t>
  </si>
  <si>
    <t>TTRANSFERENCIA INTERNACIONAL DE DATOS (38.6)</t>
  </si>
  <si>
    <t>BASES LEGITIMADORAS DEL TRATAMIENTO (38.7)</t>
  </si>
  <si>
    <t>PLAZOS DE RETENCION PARA LA SUPRESION (38.8-A)</t>
  </si>
  <si>
    <t>JURIDICAS (38.9-A)</t>
  </si>
  <si>
    <t>ORGANIZATIVAS (38.9-B)</t>
  </si>
  <si>
    <t>ADMINISTRATIVAS (38.9-C)</t>
  </si>
  <si>
    <t>TÉCNICAS (38.9-D)</t>
  </si>
  <si>
    <t>FÍSICAS (38.9-E)</t>
  </si>
  <si>
    <t xml:space="preserve"> </t>
  </si>
  <si>
    <t>PROCESO O                                         #DE ESTACIÓN AUTOGESTIONADA</t>
  </si>
  <si>
    <t xml:space="preserve"> NOMBRE DE LA ACTIVIDAD DE TRATAMIENTO </t>
  </si>
  <si>
    <t xml:space="preserve">MENCIONAR EL ÁREA O DEPARTAMENTO ENCARGADO DE LA ACTIVIDAD DE TRATAMIENTO </t>
  </si>
  <si>
    <r>
      <t xml:space="preserve">TITULARES  (38.4-A)                                        </t>
    </r>
    <r>
      <rPr>
        <b/>
        <sz val="6"/>
        <color rgb="FF008000"/>
        <rFont val="Bahnschrift"/>
        <family val="2"/>
      </rPr>
      <t>(EMPLEADOS, NIÑOS, ADOLESCENTES, DIFUNTOS, RESPONSABLES, VISITANTES, OTROS)</t>
    </r>
  </si>
  <si>
    <t>CATEGORIA DE LOS DATOS (38.4-B)  ESPECIALES, COMUNES, MIXTOS</t>
  </si>
  <si>
    <r>
      <rPr>
        <b/>
        <sz val="10"/>
        <color rgb="FF008000"/>
        <rFont val="Bahnschrift"/>
        <family val="2"/>
      </rPr>
      <t>POR SG BASADO EN ESTACIÓN DE TRABAJO AUTOGESTIONADA</t>
    </r>
    <r>
      <rPr>
        <sz val="10"/>
        <color rgb="FF008000"/>
        <rFont val="Bahnschrift"/>
        <family val="2"/>
      </rPr>
      <t xml:space="preserve">:                           2.- Mencionar el número de estación Autogestionada donde se recibe la solicitud (ámbito WEB, FÍSICO, PLATAFORMA)                           </t>
    </r>
  </si>
  <si>
    <t>FRECUENCIA DEL TRATAMIENTO</t>
  </si>
  <si>
    <t>PERMANENCIA DEL TRATAMIENTO</t>
  </si>
  <si>
    <t xml:space="preserve">ALCANCE GEOGRÁFICO DEL TRATAMIENTO </t>
  </si>
  <si>
    <t>CRITERIOS MTGE</t>
  </si>
  <si>
    <t>NÚMERO DE TITULARES</t>
  </si>
  <si>
    <t>DE 10.001 A 100.000</t>
  </si>
  <si>
    <t>DE 101.000 O MÁS</t>
  </si>
  <si>
    <t>VOLÚMEN DE DATOS TRATADOS</t>
  </si>
  <si>
    <t>HASTA 10 TIPOS DE DATOS POR TITULAR</t>
  </si>
  <si>
    <t xml:space="preserve">ENTRE 11 Y 30 TIPOS DE DATOS </t>
  </si>
  <si>
    <t xml:space="preserve">ENTRE 31 Y 100 TIPOS DE DATOS </t>
  </si>
  <si>
    <t xml:space="preserve">DESDE 101 O MÁS </t>
  </si>
  <si>
    <t xml:space="preserve">CATEGORÍAS DE DATOS PERSONALES TRATADOS </t>
  </si>
  <si>
    <t xml:space="preserve">BÁSICOS </t>
  </si>
  <si>
    <t>ESPECIALES</t>
  </si>
  <si>
    <t>ESPECIAL GRUPOS VULNERABLES</t>
  </si>
  <si>
    <t xml:space="preserve">TRATAMIENTO PUNTUAL </t>
  </si>
  <si>
    <t>PERIÓDICA RECURRENTE</t>
  </si>
  <si>
    <t>CONTINUA EN TIEMPO REAL</t>
  </si>
  <si>
    <t>OCASIONAL</t>
  </si>
  <si>
    <t>TEMPORAL</t>
  </si>
  <si>
    <t>PROLONGADA</t>
  </si>
  <si>
    <t>ALCANCE LOCAL</t>
  </si>
  <si>
    <t>NACIONAL</t>
  </si>
  <si>
    <t>GLOBAL</t>
  </si>
  <si>
    <t>Puntos</t>
  </si>
  <si>
    <t xml:space="preserve">Puntos </t>
  </si>
  <si>
    <t>DE 0 A 1.000</t>
  </si>
  <si>
    <t>DE 1.001 A 10.000</t>
  </si>
  <si>
    <t>SALUD</t>
  </si>
  <si>
    <t>TRATAMIENTOS AUTOMATIZADOS</t>
  </si>
  <si>
    <t>VIGILANCIA MONITOREO</t>
  </si>
  <si>
    <t>DATOS BIOMETRICOS</t>
  </si>
  <si>
    <t>CREDITICIA FINANCIERA</t>
  </si>
  <si>
    <t>NIÑAS, NIÑOS Y ADOLECENTES EN ENTORNOS INSTITUCIONALES Y TECNOLÓICOS</t>
  </si>
  <si>
    <t>TRANSFERENCIAS SISTEMÁTICAS LOCAL O NTERNACIONAL</t>
  </si>
  <si>
    <t>MENSAJERIA ACELERADA O COURIER</t>
  </si>
  <si>
    <t>NINGUNO</t>
  </si>
  <si>
    <t>PANSI JURÍDICO</t>
  </si>
  <si>
    <t>PANSI ORGANIZATIVOS</t>
  </si>
  <si>
    <t>PANSI ADMINISTRATIVO</t>
  </si>
  <si>
    <t>PANSI TÉCNICAS</t>
  </si>
  <si>
    <t>PANSI FÍSICAS</t>
  </si>
  <si>
    <t>24000 TITULARES</t>
  </si>
  <si>
    <r>
      <t xml:space="preserve">DESCRIPCIÓN DEL TRATAMIENTO                                     </t>
    </r>
    <r>
      <rPr>
        <b/>
        <sz val="10"/>
        <color theme="1"/>
        <rFont val="Bahnschrift"/>
        <family val="2"/>
      </rPr>
      <t>(R-005-2026, 15.1)</t>
    </r>
  </si>
  <si>
    <t>TIPOS DE CATEGORÍA ESPECIAL</t>
  </si>
  <si>
    <t>TIPOS DE CATEGORÍA COMÚN</t>
  </si>
  <si>
    <t>7.2</t>
  </si>
  <si>
    <t>7.5</t>
  </si>
  <si>
    <t>BASE LICITUD</t>
  </si>
  <si>
    <t>SECTOR ECONÓMICO</t>
  </si>
  <si>
    <t>MTGE</t>
  </si>
  <si>
    <t xml:space="preserve">CONTRATO MANUFACTURA </t>
  </si>
  <si>
    <t>LEY TRANSPORTE SEGURO</t>
  </si>
  <si>
    <t>EIPD                                (R-005-2026, 12.1)</t>
  </si>
  <si>
    <t>DPD                                       (R-005-2026, 12.2)</t>
  </si>
  <si>
    <t>REFORZAR PANSI                                                    (R-005-2026, 12.4)</t>
  </si>
  <si>
    <t>CATEGORÍAS DE DATOS PERSONALES                                                                             (R-005-2026, 15.2)</t>
  </si>
  <si>
    <t>TITULARES DE DATOS PERSONALES DE QUIENES SE TRATA LA INFORMACIÓN                    (R-005-2026, 15.3)</t>
  </si>
  <si>
    <t>FRECUENCIA DEL TRATAMIENTO                           (R-005-2026, 15.4)</t>
  </si>
  <si>
    <t>PERMANENCIA DEL TRATAMIENTO                                             (R-005-2026, 15.5)</t>
  </si>
  <si>
    <t>MEDIDAS DE SEGURIDAD IMPLEMENTADAS                                                                                                                  (R-005-2026, 15.6)</t>
  </si>
  <si>
    <t>JURIDICAS                           (RGLOPDP, 38.9-A)</t>
  </si>
  <si>
    <t>ORGANIZATIVAS (RGLOPDP, 38.9-B)</t>
  </si>
  <si>
    <t>ADMINISTRATIVAS (RGLOPDP, 38.9-C)</t>
  </si>
  <si>
    <t>TÉCNICAS                                (RGLOPDP, 38.9-D)</t>
  </si>
  <si>
    <t>FÍSICAS                             (RGLOPDP, 38.9-E)</t>
  </si>
  <si>
    <t>NÚMERO DE TITULARES                                                               (R-005-2026, 7.1)</t>
  </si>
  <si>
    <t>VOLUMEN DE DATOS PERSONALES                                       (R-005-2026, 7.2)</t>
  </si>
  <si>
    <t>CATEGORÍAS DE DATOS PERSONALES                                       (R-005-2026, 7.3)</t>
  </si>
  <si>
    <t>FRECUENCIA DEL TRATAMIENTO DATOS PERSONALES                                                              (R-005-2026, 7.4)</t>
  </si>
  <si>
    <t>PERMANENCIA DEL TRATAMIENTO DE DATOS PERSONALES                                                           (R-005-2026, 7.5)</t>
  </si>
  <si>
    <t>ALCANCE GEOGRÁFICO DEL TRATAMIENTO                                                    (R-005-2026, 7.6)</t>
  </si>
  <si>
    <r>
      <t xml:space="preserve">MTGE                                                                               </t>
    </r>
    <r>
      <rPr>
        <b/>
        <sz val="10"/>
        <color theme="1"/>
        <rFont val="Bahnschrift"/>
        <family val="2"/>
      </rPr>
      <t xml:space="preserve"> </t>
    </r>
    <r>
      <rPr>
        <b/>
        <sz val="8"/>
        <color theme="1"/>
        <rFont val="Bahnschrift"/>
        <family val="2"/>
      </rPr>
      <t xml:space="preserve"> (R-005-2026, Art. 7)</t>
    </r>
  </si>
  <si>
    <r>
      <t xml:space="preserve">TRATAMIETOS QUE OBLIGAN LA EIPD
(GRAN ESCALA) 
</t>
    </r>
    <r>
      <rPr>
        <sz val="6"/>
        <color theme="1"/>
        <rFont val="Bahnschrift"/>
        <family val="2"/>
      </rPr>
      <t>(SI NO ELIJA NINGUNO)</t>
    </r>
    <r>
      <rPr>
        <sz val="10"/>
        <color theme="1"/>
        <rFont val="Bahnschrift"/>
        <family val="2"/>
      </rPr>
      <t xml:space="preserve">                                                                                                                                    </t>
    </r>
    <r>
      <rPr>
        <b/>
        <sz val="10"/>
        <color theme="1"/>
        <rFont val="Bahnschrift"/>
        <family val="2"/>
      </rPr>
      <t xml:space="preserve"> (R-005-2026, Art. 14)</t>
    </r>
  </si>
  <si>
    <t>EL TRATAMIENTO SE REALIZA CON IA</t>
  </si>
  <si>
    <t>TRAUMA ORTOPEDICS                       MED TECH                   QUALIMED</t>
  </si>
  <si>
    <t xml:space="preserve">Av Colón E4-412 y Juan León Mera, Ed. Arista, piso 7                                           telléfono: 2 554 297                                         info@traumaortopedics.com                     Av. 12 de Octubre N24-739 y Av. Colón, Torre Boreal, piso 8, 803                     medtech.ec@gmail.com                                      (02) 475 5444                                                   Av. La coruña, E25-58 y San Ignacio,Ed. Altana Plaza, of. 311, poiso 3                                                               teléfono (02) 2500196                                                </t>
  </si>
  <si>
    <t>Mary Frances Gabela                        info@qualimed.ec</t>
  </si>
  <si>
    <t>NO</t>
  </si>
  <si>
    <r>
      <rPr>
        <b/>
        <sz val="10"/>
        <color rgb="FF008000"/>
        <rFont val="Bahnschrift"/>
        <family val="2"/>
      </rPr>
      <t>POR SG BASADO EN INTERACCIÓN DE PROCESOS</t>
    </r>
    <r>
      <rPr>
        <sz val="10"/>
        <color rgb="FF008000"/>
        <rFont val="Bahnschrift"/>
        <family val="2"/>
      </rPr>
      <t xml:space="preserve">:                                                    3. </t>
    </r>
    <r>
      <rPr>
        <sz val="10"/>
        <color theme="1"/>
        <rFont val="Bahnschrift"/>
        <family val="2"/>
      </rPr>
      <t xml:space="preserve">Emision de la factura </t>
    </r>
  </si>
  <si>
    <r>
      <rPr>
        <b/>
        <sz val="10"/>
        <color rgb="FF008000"/>
        <rFont val="Bahnschrift"/>
        <family val="2"/>
      </rPr>
      <t>POR SG BASADO EN ESTACIÓN DE TRABAJO AUTOGESTIONADA</t>
    </r>
    <r>
      <rPr>
        <sz val="10"/>
        <color rgb="FF008000"/>
        <rFont val="Bahnschrift"/>
        <family val="2"/>
      </rPr>
      <t xml:space="preserve">:                        2.-  Puesto  1   </t>
    </r>
  </si>
  <si>
    <t xml:space="preserve">Cumplir con el régimen tributario, y cierre de contrato </t>
  </si>
  <si>
    <t>Farcturador electrónico Contifico y OFFICE 365 (unificar el gestor informático)</t>
  </si>
  <si>
    <t>BASICOS DE IDENTIFICACIÓN</t>
  </si>
  <si>
    <t>No existe</t>
  </si>
  <si>
    <t xml:space="preserve">Contifico (Proveedor de Colombia) Validar resolución 004-2026 título IV Capítulo 1 Régimen Especial INTRA-CAN para la Comunidad Andina </t>
  </si>
  <si>
    <t>Art. 7.2 Cumplimiento régimen tributario y 7.5 cumpliminto contractual</t>
  </si>
  <si>
    <t xml:space="preserve">Se conservará de acuerdo a Art. 41 del Reglamento de Comprobantes establecido bajo el CÓDIGO TRIBUTARIO que establece el plazo mínimo  de 7 años </t>
  </si>
  <si>
    <t>PANSI</t>
  </si>
  <si>
    <t xml:space="preserve">TAREA: POR FAVOR COMPLETAR  LA DESCRIPCIÓN DEL TRATAMIENTO </t>
  </si>
  <si>
    <t xml:space="preserve">Nombre y Apellido           Cédula de Identidad            No telefónico              Dirección                        Correo electrónico </t>
  </si>
  <si>
    <t xml:space="preserve"> DEPARTAMENTO  ADMINISTRATIVO </t>
  </si>
  <si>
    <t xml:space="preserve">FACTURACIÓN </t>
  </si>
  <si>
    <t>Titular externo</t>
  </si>
  <si>
    <t>BÁSICOS</t>
  </si>
  <si>
    <t>GRUPOS VULNERABLES</t>
  </si>
  <si>
    <t>COMBINADOS</t>
  </si>
  <si>
    <t>TITULAREES EXTERNOS - VISITAS</t>
  </si>
  <si>
    <t>TITULARES EXTERNOS - PATD HONORARIOS</t>
  </si>
  <si>
    <t>TITULARES INTERNOS - PATD</t>
  </si>
  <si>
    <t>TITULARES INTERNOS - EMPLEADO</t>
  </si>
  <si>
    <t>TITULARES EXTERNOS - CANDIDATOS</t>
  </si>
  <si>
    <t>SI</t>
  </si>
  <si>
    <t>SI - POR TIPO DE DESTINATARIO</t>
  </si>
  <si>
    <t>SI - POR REPORTE A MATRIZ</t>
  </si>
  <si>
    <t>7.1 - CONSENTIMIENTO</t>
  </si>
  <si>
    <t>7.2 - OBLIGACIÓN LEGAL</t>
  </si>
  <si>
    <t>7.3 - ORDEN JUDICIAL</t>
  </si>
  <si>
    <t>7.4 - INTERÉS PÚBLICO</t>
  </si>
  <si>
    <t>7.5 - PRE CONTRACTUAL O CONTRACTUAL</t>
  </si>
  <si>
    <t>7.6 - INTERESES VITALES</t>
  </si>
  <si>
    <t>7.7 - BASES DE ACCESO PÚBLICO</t>
  </si>
  <si>
    <t>7.8 - INTERÉS LEGÍTIMO</t>
  </si>
  <si>
    <t>TIEMPO DEL TRATAMIENTO + 3 MESES</t>
  </si>
  <si>
    <t>TIEMPO DEL TRATAMIENTO + 7 AÑOS</t>
  </si>
  <si>
    <t>TIEMPO DEL TRATAMIENTO</t>
  </si>
  <si>
    <t>NOMBRE</t>
  </si>
  <si>
    <t>CASETA DEL GUARDIA         EMPRESA SEGAPRO</t>
  </si>
  <si>
    <t>LISTADO DE ACTIVIDADES DE TRATAMIENTO</t>
  </si>
  <si>
    <r>
      <t xml:space="preserve">CATEGORÍA DE LOS DATOS                                                                   </t>
    </r>
    <r>
      <rPr>
        <b/>
        <sz val="10"/>
        <color theme="1"/>
        <rFont val="Segoe UI"/>
        <family val="2"/>
      </rPr>
      <t xml:space="preserve"> (BÁSICOS  +  ESPECIALES  +  COMBINADOS</t>
    </r>
  </si>
  <si>
    <t>COMENTARIOS</t>
  </si>
  <si>
    <t>1.- CONTROL DE ASISTENCIA BIOMÉTRICO</t>
  </si>
  <si>
    <t>COMBINADOS = FACIAL + DACTILAR</t>
  </si>
  <si>
    <t>HAY ROTACIÓN DE GUARDIAS PARA SEERVICIO 24/7, LOS FINES DE SEMANA CAMBIAN A LOS QUE TRABAJARON EN LA SEMANA, LA TOMA DE TEMPERATURA ES UN PROCEDIMIENTO RESIDUAL DE LA PANDEMIA, NO SE RESPETA LA TOMA DE TEMPERATURA A TODOS AL MOMENTO DE ENTRAR. LA INFORMACIÓN DE LAS CÁMARAS SE BORRA CADA 30 DÍAS AL SATURAR LA MEMORIA, NO SE GUARDAN RESPALDOS, EL BIOMÉTRICO TIENE LICENCIA PROPIA, SE BORRA AUTOMÁTICAMENTE, LA DATA LA USA RRHH</t>
  </si>
  <si>
    <t>2.- CÁMARA CON AMPLIO ESPECTRO PARA ENTRADA Y SALIDA DE BODEGAS Y ENTRADA PRINCIPAL</t>
  </si>
  <si>
    <t>3.- REGISTRO DE ENTRADA MANUAL</t>
  </si>
  <si>
    <t>BÁSICOS + CÉDULA Y QUEDA EN SU PODER</t>
  </si>
  <si>
    <t>4.- VISUALIZACIÓN DE CÁMARAS</t>
  </si>
  <si>
    <t>COMBINADO</t>
  </si>
  <si>
    <t>5.- TOMA DE TEMPERATURA (REGISTRO FÍSICO)</t>
  </si>
  <si>
    <t>CATEGORÍA ESPECIAL</t>
  </si>
  <si>
    <t>6.- REGISTRO FÍSICO DE COMIDAS DEL PERSONAL</t>
  </si>
  <si>
    <t>BÁSICOS IDENTIFICACIÓN</t>
  </si>
  <si>
    <t xml:space="preserve">7.- </t>
  </si>
  <si>
    <t>8.-</t>
  </si>
  <si>
    <t>9.-</t>
  </si>
  <si>
    <t>10.-</t>
  </si>
  <si>
    <t>CONTROL DE ASISTECIA BIOMÉTRICO</t>
  </si>
  <si>
    <t>RECURSOS HUMANOS</t>
  </si>
  <si>
    <t>PATD # 1                   GUARDIANIA</t>
  </si>
  <si>
    <t>FORMATO DE REGISTRO DE VISITAS</t>
  </si>
  <si>
    <t>MONTANA</t>
  </si>
  <si>
    <t>SEBASTIAN MORENO, E1-53 Y PANA NORTE                                                   TEL: (02) 2480128                                                            E-MAIL: pendiente</t>
  </si>
  <si>
    <t>por definir</t>
  </si>
  <si>
    <t>El encargado de tratamiento )segapro), dentro de su esquema de segurirad que dentro dek marco de la ley de seguridad publica, esta obligado a controlar el acceso a las instalaciones de Responsable de tramanieto.</t>
  </si>
  <si>
    <t>no existen destinatarios</t>
  </si>
  <si>
    <t>EL ENCARGADO DE TRATAMIENTO (SEGAPRO), RECOPILA DAOS BÁSICOS DEL TITULAR EXTERNO</t>
  </si>
  <si>
    <t>NOMBRE, APELLIDO, NO. CÉDULA, FIRMA</t>
  </si>
  <si>
    <t>El encargado de tratamiento (segapro), dentro de su esquema de segurirad que ESTÁ dentro deL marco de la ley de seguridad publica, esta obligado a OSERVAR LAS IMÁGENES RECOGIDAS POR LAS DISTINTAS CÁMARAS DEL ESQUEMA DE SEGURIDAD DE  las instalaciones de Responsable de tramanieto.</t>
  </si>
  <si>
    <t>NO HAY DESTINATARIOS</t>
  </si>
  <si>
    <t>TITULARES EXTERNOS  E INTERNOS EN TODAS LAS CATEGORÍAS</t>
  </si>
  <si>
    <t>EL ENCARGADO DE TRATAMIENTO TIEN LA TAREA DE OBSERVAR LAS IMÁGENES DE MANERA FRECUENTE PARA CUMPLIR CON EL PROCEDIMIENTO O RUTINA  DE SEGURIDAD</t>
  </si>
  <si>
    <t>TODOS LOS QUE RECOGE LAS IMÁGENES</t>
  </si>
  <si>
    <t>MONITOREO DE CÁMARAS DE VIDEO VIGILANCIA</t>
  </si>
  <si>
    <t>REGISTRO DE TEMPERATURA</t>
  </si>
  <si>
    <t>NO SE TIENE UNA FINALIDAD QUE QUE SE RELACIONE CON ALGUNA DE LAS BASES DE LICITUD QUE NOS OTORGA LA LOPDP</t>
  </si>
  <si>
    <t>NO EXISTEN</t>
  </si>
  <si>
    <t>TIPOS DE DATOS</t>
  </si>
  <si>
    <t>TEMPERATUA CORPORAL, NOMBRE Y APELLIDO DEL TITULAR INTERNO (EMPLEADO)</t>
  </si>
  <si>
    <t>CONTROLAR LA TEMPERATURA CORPORL DE LOS TITULARES INTERNOS SIGUIENDO EL PROTOCOLO COVID</t>
  </si>
  <si>
    <t>REGISTRO DE COMIDAS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</si>
</sst>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9" x14ac:knownFonts="1">
    <font>
      <sz val="11"/>
      <color theme="1"/>
      <name val="Calibri"/>
      <family val="2"/>
      <scheme val="minor"/>
    </font>
    <font>
      <u/>
      <sz val="11"/>
      <color theme="10"/>
      <name val="Calibri"/>
      <family val="2"/>
      <scheme val="minor"/>
    </font>
    <font>
      <sz val="10"/>
      <color theme="1"/>
      <name val="Bahnschrift"/>
      <family val="2"/>
    </font>
    <font>
      <sz val="8"/>
      <color theme="1"/>
      <name val="Bahnschrift"/>
      <family val="2"/>
    </font>
    <font>
      <sz val="6"/>
      <color theme="1"/>
      <name val="Bahnschrift"/>
      <family val="2"/>
    </font>
    <font>
      <b/>
      <sz val="10"/>
      <color rgb="FF008000"/>
      <name val="Bahnschrift"/>
      <family val="2"/>
    </font>
    <font>
      <sz val="10"/>
      <color rgb="FF008000"/>
      <name val="Bahnschrift"/>
      <family val="2"/>
    </font>
    <font>
      <b/>
      <sz val="8"/>
      <color rgb="FF008000"/>
      <name val="Bahnschrift"/>
      <family val="2"/>
    </font>
    <font>
      <b/>
      <sz val="6"/>
      <color rgb="FF008000"/>
      <name val="Bahnschrift"/>
      <family val="2"/>
    </font>
    <font>
      <sz val="11"/>
      <color rgb="FF008000"/>
      <name val="Calibri"/>
      <family val="2"/>
      <scheme val="minor"/>
    </font>
    <font>
      <sz val="12"/>
      <color rgb="FF008000"/>
      <name val="Bahnschrift"/>
      <family val="2"/>
    </font>
    <font>
      <sz val="18"/>
      <color rgb="FF008000"/>
      <name val="Bahnschrift"/>
      <family val="2"/>
    </font>
    <font>
      <b/>
      <sz val="11"/>
      <color theme="1"/>
      <name val="Calibri"/>
      <family val="2"/>
      <scheme val="minor"/>
    </font>
    <font>
      <b/>
      <sz val="18"/>
      <color theme="1"/>
      <name val="Calibri"/>
      <family val="2"/>
      <scheme val="minor"/>
    </font>
    <font>
      <sz val="11"/>
      <color rgb="FFFF0000"/>
      <name val="Calibri"/>
      <family val="2"/>
      <scheme val="minor"/>
    </font>
    <font>
      <b/>
      <sz val="10"/>
      <color theme="1"/>
      <name val="Bahnschrift"/>
      <family val="2"/>
    </font>
    <font>
      <b/>
      <sz val="12"/>
      <color theme="1"/>
      <name val="Bahnschrift"/>
      <family val="2"/>
    </font>
    <font>
      <sz val="16"/>
      <color theme="1"/>
      <name val="Bahnschrift"/>
      <family val="2"/>
    </font>
    <font>
      <sz val="14"/>
      <color theme="1"/>
      <name val="Bahnschrift"/>
      <family val="2"/>
    </font>
    <font>
      <sz val="12"/>
      <color theme="1"/>
      <name val="Bahnschrift"/>
      <family val="2"/>
    </font>
    <font>
      <sz val="18"/>
      <color theme="1"/>
      <name val="Calibri"/>
      <family val="2"/>
      <scheme val="minor"/>
    </font>
    <font>
      <sz val="20"/>
      <color theme="1"/>
      <name val="Bahnschrift"/>
      <family val="2"/>
    </font>
    <font>
      <b/>
      <sz val="8"/>
      <color theme="1"/>
      <name val="Bahnschrift"/>
      <family val="2"/>
    </font>
    <font>
      <sz val="18"/>
      <color theme="1"/>
      <name val="Bahnschrift"/>
      <family val="2"/>
    </font>
    <font>
      <sz val="16"/>
      <name val="Bahnschrift"/>
      <family val="2"/>
    </font>
    <font>
      <sz val="10"/>
      <name val="Bahnschrift"/>
      <family val="2"/>
    </font>
    <font>
      <sz val="18"/>
      <color rgb="FF008000"/>
      <name val="Segoe UI"/>
      <family val="2"/>
    </font>
    <font>
      <sz val="14"/>
      <color theme="8" tint="-0.249977111117893"/>
      <name val="Segoe UI"/>
      <family val="2"/>
    </font>
    <font>
      <sz val="16"/>
      <color theme="8" tint="-0.249977111117893"/>
      <name val="Segoe UI"/>
    </font>
    <font>
      <sz val="16"/>
      <color theme="8" tint="-0.249977111117893"/>
      <name val="Segoe UI"/>
      <family val="2"/>
    </font>
    <font>
      <b/>
      <sz val="14"/>
      <color theme="8" tint="-0.249977111117893"/>
      <name val="Segoe UI"/>
      <family val="2"/>
    </font>
    <font>
      <b/>
      <sz val="12"/>
      <color theme="8" tint="-0.249977111117893"/>
      <name val="Segoe UI"/>
    </font>
    <font>
      <b/>
      <sz val="16"/>
      <color theme="8" tint="-0.249977111117893"/>
      <name val="Segoe UI"/>
      <family val="2"/>
    </font>
    <font>
      <sz val="11"/>
      <color theme="5"/>
      <name val="Segoe UI"/>
      <family val="2"/>
    </font>
    <font>
      <sz val="14"/>
      <color theme="1"/>
      <name val="Segoe UI"/>
      <family val="2"/>
    </font>
    <font>
      <sz val="16"/>
      <color theme="1"/>
      <name val="Segoe UI"/>
      <family val="2"/>
    </font>
    <font>
      <sz val="12"/>
      <color theme="1"/>
      <name val="Segoe UI"/>
      <family val="2"/>
    </font>
    <font>
      <sz val="10"/>
      <color theme="1"/>
      <name val="Segoe UI"/>
      <family val="2"/>
    </font>
    <font>
      <b/>
      <sz val="10"/>
      <color theme="1"/>
      <name val="Segoe UI"/>
      <family val="2"/>
    </font>
    <font>
      <sz val="8"/>
      <color theme="1"/>
      <name val="Calibri"/>
      <family val="2"/>
      <scheme val="minor"/>
    </font>
    <font>
      <sz val="16"/>
      <color theme="8" tint="-0.249977111117893"/>
      <name val="Arial"/>
      <family val="2"/>
    </font>
    <font>
      <sz val="10"/>
      <color theme="8" tint="-0.249977111117893"/>
      <name val="Arial"/>
      <family val="2"/>
    </font>
    <font>
      <u/>
      <sz val="11"/>
      <color theme="10"/>
      <name val="Arial"/>
      <family val="2"/>
    </font>
    <font>
      <sz val="14"/>
      <color theme="8" tint="-0.249977111117893"/>
      <name val="Arial"/>
      <family val="2"/>
    </font>
    <font>
      <b/>
      <sz val="9"/>
      <color theme="8" tint="-0.249977111117893"/>
      <name val="Arial"/>
      <family val="2"/>
    </font>
    <font>
      <b/>
      <sz val="20"/>
      <color rgb="FF008000"/>
      <name val="Bahnschrift"/>
      <family val="2"/>
    </font>
    <font>
      <sz val="12"/>
      <color theme="8" tint="-0.249977111117893"/>
      <name val="Arial"/>
      <family val="2"/>
    </font>
    <font>
      <sz val="9"/>
      <color indexed="81"/>
      <name val="Tahoma"/>
      <family val="2"/>
    </font>
    <font>
      <b/>
      <sz val="9"/>
      <color indexed="81"/>
      <name val="Tahoma"/>
      <family val="2"/>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s>
  <borders count="33">
    <border>
      <left/>
      <right/>
      <top/>
      <bottom/>
      <diagonal/>
    </border>
    <border>
      <left/>
      <right style="mediumDashed">
        <color theme="8" tint="0.59996337778862885"/>
      </right>
      <top style="mediumDashed">
        <color theme="8" tint="0.59996337778862885"/>
      </top>
      <bottom style="mediumDashed">
        <color theme="8" tint="0.59996337778862885"/>
      </bottom>
      <diagonal/>
    </border>
    <border>
      <left style="mediumDashed">
        <color theme="8" tint="0.59996337778862885"/>
      </left>
      <right style="mediumDashed">
        <color theme="8" tint="0.59996337778862885"/>
      </right>
      <top style="mediumDashed">
        <color theme="8" tint="0.59996337778862885"/>
      </top>
      <bottom style="mediumDashed">
        <color theme="8" tint="0.59996337778862885"/>
      </bottom>
      <diagonal/>
    </border>
    <border>
      <left/>
      <right/>
      <top style="mediumDashed">
        <color theme="8" tint="0.59996337778862885"/>
      </top>
      <bottom style="mediumDashed">
        <color theme="8" tint="0.59996337778862885"/>
      </bottom>
      <diagonal/>
    </border>
    <border>
      <left/>
      <right style="mediumDashed">
        <color theme="8" tint="0.59996337778862885"/>
      </right>
      <top style="medium">
        <color indexed="64"/>
      </top>
      <bottom style="mediumDashed">
        <color theme="8" tint="0.59996337778862885"/>
      </bottom>
      <diagonal/>
    </border>
    <border>
      <left style="mediumDashed">
        <color theme="8" tint="0.59996337778862885"/>
      </left>
      <right style="mediumDashed">
        <color theme="8" tint="0.59996337778862885"/>
      </right>
      <top style="medium">
        <color indexed="64"/>
      </top>
      <bottom style="mediumDashed">
        <color theme="8" tint="0.59996337778862885"/>
      </bottom>
      <diagonal/>
    </border>
    <border>
      <left style="mediumDashed">
        <color theme="8" tint="0.59996337778862885"/>
      </left>
      <right style="medium">
        <color indexed="64"/>
      </right>
      <top style="medium">
        <color indexed="64"/>
      </top>
      <bottom style="mediumDashed">
        <color theme="8" tint="0.59996337778862885"/>
      </bottom>
      <diagonal/>
    </border>
    <border>
      <left style="mediumDashed">
        <color theme="8" tint="0.59996337778862885"/>
      </left>
      <right style="medium">
        <color indexed="64"/>
      </right>
      <top style="mediumDashed">
        <color theme="8" tint="0.59996337778862885"/>
      </top>
      <bottom style="mediumDashed">
        <color theme="8" tint="0.59996337778862885"/>
      </bottom>
      <diagonal/>
    </border>
    <border>
      <left/>
      <right style="mediumDashed">
        <color theme="8" tint="0.59996337778862885"/>
      </right>
      <top style="mediumDashed">
        <color theme="8" tint="0.59996337778862885"/>
      </top>
      <bottom style="medium">
        <color indexed="64"/>
      </bottom>
      <diagonal/>
    </border>
    <border>
      <left style="medium">
        <color indexed="64"/>
      </left>
      <right style="mediumDashed">
        <color theme="8" tint="0.39994506668294322"/>
      </right>
      <top style="medium">
        <color indexed="64"/>
      </top>
      <bottom style="mediumDashed">
        <color theme="8" tint="0.39994506668294322"/>
      </bottom>
      <diagonal/>
    </border>
    <border>
      <left style="mediumDashed">
        <color theme="8" tint="0.39994506668294322"/>
      </left>
      <right style="mediumDashed">
        <color theme="8" tint="0.39994506668294322"/>
      </right>
      <top style="medium">
        <color indexed="64"/>
      </top>
      <bottom style="mediumDashed">
        <color theme="8" tint="0.39994506668294322"/>
      </bottom>
      <diagonal/>
    </border>
    <border>
      <left style="mediumDashed">
        <color theme="8" tint="0.39994506668294322"/>
      </left>
      <right style="mediumDashed">
        <color theme="8" tint="0.39991454817346722"/>
      </right>
      <top style="medium">
        <color indexed="64"/>
      </top>
      <bottom style="mediumDashed">
        <color theme="8" tint="0.39994506668294322"/>
      </bottom>
      <diagonal/>
    </border>
    <border>
      <left style="mediumDashed">
        <color theme="8" tint="0.39991454817346722"/>
      </left>
      <right style="mediumDashed">
        <color theme="8" tint="0.39991454817346722"/>
      </right>
      <top style="medium">
        <color indexed="64"/>
      </top>
      <bottom style="mediumDashed">
        <color theme="8" tint="0.59996337778862885"/>
      </bottom>
      <diagonal/>
    </border>
    <border>
      <left style="mediumDashed">
        <color theme="8" tint="0.39994506668294322"/>
      </left>
      <right style="mediumDashed">
        <color theme="8" tint="0.39991454817346722"/>
      </right>
      <top style="mediumDashed">
        <color theme="8" tint="0.39994506668294322"/>
      </top>
      <bottom/>
      <diagonal/>
    </border>
    <border>
      <left style="mediumDashed">
        <color theme="8" tint="0.39991454817346722"/>
      </left>
      <right style="mediumDashed">
        <color theme="8" tint="0.39991454817346722"/>
      </right>
      <top/>
      <bottom/>
      <diagonal/>
    </border>
    <border>
      <left style="mediumDashed">
        <color theme="8" tint="0.39991454817346722"/>
      </left>
      <right style="mediumDashed">
        <color theme="8" tint="0.39991454817346722"/>
      </right>
      <top style="mediumDashed">
        <color theme="8" tint="0.59996337778862885"/>
      </top>
      <bottom style="mediumDashed">
        <color theme="8" tint="0.59996337778862885"/>
      </bottom>
      <diagonal/>
    </border>
    <border>
      <left style="mediumDashed">
        <color theme="8" tint="0.39994506668294322"/>
      </left>
      <right style="mediumDashed">
        <color theme="8" tint="0.39991454817346722"/>
      </right>
      <top/>
      <bottom/>
      <diagonal/>
    </border>
    <border>
      <left style="mediumDashed">
        <color theme="8" tint="0.39994506668294322"/>
      </left>
      <right style="mediumDashed">
        <color theme="8" tint="0.39991454817346722"/>
      </right>
      <top/>
      <bottom style="medium">
        <color indexed="64"/>
      </bottom>
      <diagonal/>
    </border>
    <border>
      <left style="medium">
        <color indexed="64"/>
      </left>
      <right style="mediumDashed">
        <color theme="8" tint="0.39994506668294322"/>
      </right>
      <top style="mediumDashed">
        <color theme="8" tint="0.39994506668294322"/>
      </top>
      <bottom/>
      <diagonal/>
    </border>
    <border>
      <left style="mediumDashed">
        <color theme="8" tint="0.39994506668294322"/>
      </left>
      <right style="mediumDashed">
        <color theme="8" tint="0.39994506668294322"/>
      </right>
      <top style="mediumDashed">
        <color theme="8" tint="0.39994506668294322"/>
      </top>
      <bottom/>
      <diagonal/>
    </border>
    <border>
      <left style="medium">
        <color indexed="64"/>
      </left>
      <right style="mediumDashed">
        <color theme="8" tint="0.39994506668294322"/>
      </right>
      <top/>
      <bottom/>
      <diagonal/>
    </border>
    <border>
      <left style="mediumDashed">
        <color theme="8" tint="0.39994506668294322"/>
      </left>
      <right style="mediumDashed">
        <color theme="8" tint="0.39994506668294322"/>
      </right>
      <top/>
      <bottom/>
      <diagonal/>
    </border>
    <border>
      <left style="medium">
        <color indexed="64"/>
      </left>
      <right style="mediumDashed">
        <color theme="8" tint="0.39994506668294322"/>
      </right>
      <top/>
      <bottom style="medium">
        <color indexed="64"/>
      </bottom>
      <diagonal/>
    </border>
    <border>
      <left style="mediumDashed">
        <color theme="8" tint="0.39994506668294322"/>
      </left>
      <right style="mediumDashed">
        <color theme="8" tint="0.39994506668294322"/>
      </right>
      <top/>
      <bottom style="medium">
        <color indexed="64"/>
      </bottom>
      <diagonal/>
    </border>
    <border>
      <left style="mediumDashed">
        <color theme="8" tint="0.39991454817346722"/>
      </left>
      <right/>
      <top style="mediumDashed">
        <color theme="8" tint="0.59996337778862885"/>
      </top>
      <bottom style="mediumDashed">
        <color theme="8" tint="0.59996337778862885"/>
      </bottom>
      <diagonal/>
    </border>
    <border>
      <left/>
      <right style="medium">
        <color indexed="64"/>
      </right>
      <top style="mediumDashed">
        <color theme="8" tint="0.59996337778862885"/>
      </top>
      <bottom style="mediumDashed">
        <color theme="8" tint="0.59996337778862885"/>
      </bottom>
      <diagonal/>
    </border>
    <border>
      <left style="mediumDashed">
        <color theme="8" tint="0.59996337778862885"/>
      </left>
      <right style="medium">
        <color theme="1"/>
      </right>
      <top style="mediumDashed">
        <color theme="8" tint="0.59996337778862885"/>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Dashed">
        <color rgb="FF002060"/>
      </bottom>
      <diagonal/>
    </border>
    <border>
      <left/>
      <right/>
      <top style="mediumDashed">
        <color rgb="FF002060"/>
      </top>
      <bottom style="mediumDashed">
        <color rgb="FF002060"/>
      </bottom>
      <diagonal/>
    </border>
    <border>
      <left/>
      <right/>
      <top style="mediumDashed">
        <color rgb="FF002060"/>
      </top>
      <bottom style="thin">
        <color indexed="64"/>
      </bottom>
      <diagonal/>
    </border>
  </borders>
  <cellStyleXfs count="3">
    <xf numFmtId="0" fontId="0" fillId="0" borderId="0"/>
    <xf numFmtId="0" fontId="1" fillId="0" borderId="0" applyNumberFormat="0" applyFill="0" applyBorder="0" applyAlignment="0" applyProtection="0"/>
    <xf numFmtId="0" fontId="1" fillId="0" borderId="0" applyNumberFormat="0" applyFill="0" applyBorder="0" applyAlignment="0" applyProtection="0"/>
  </cellStyleXfs>
  <cellXfs count="129">
    <xf numFmtId="0" fontId="0" fillId="0" borderId="0" xfId="0"/>
    <xf numFmtId="0" fontId="2" fillId="0" borderId="0" xfId="0" applyFont="1"/>
    <xf numFmtId="0" fontId="2" fillId="0" borderId="0" xfId="0" applyFont="1" applyAlignment="1">
      <alignment horizontal="left" vertical="center" wrapText="1"/>
    </xf>
    <xf numFmtId="0" fontId="2" fillId="0" borderId="0" xfId="0" applyFont="1" applyAlignment="1">
      <alignment horizontal="left" wrapText="1"/>
    </xf>
    <xf numFmtId="0" fontId="2" fillId="0" borderId="0" xfId="0" applyFont="1" applyAlignment="1">
      <alignment horizontal="center" wrapText="1"/>
    </xf>
    <xf numFmtId="0" fontId="2" fillId="0" borderId="0" xfId="0" applyFont="1" applyAlignment="1">
      <alignment horizontal="center" vertical="center" wrapText="1"/>
    </xf>
    <xf numFmtId="0" fontId="3" fillId="0" borderId="0" xfId="0" applyFont="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5" fillId="0" borderId="2"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14" xfId="0" applyFont="1" applyBorder="1" applyAlignment="1">
      <alignment horizontal="left" vertical="center" wrapText="1"/>
    </xf>
    <xf numFmtId="0" fontId="7" fillId="0" borderId="15"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6" fillId="0" borderId="14" xfId="0" applyFont="1" applyBorder="1"/>
    <xf numFmtId="0" fontId="7" fillId="0" borderId="15" xfId="0" applyFont="1" applyBorder="1" applyAlignment="1">
      <alignment horizontal="left" vertical="center" wrapText="1"/>
    </xf>
    <xf numFmtId="0" fontId="9" fillId="2" borderId="15" xfId="0" applyFont="1" applyFill="1" applyBorder="1" applyAlignment="1">
      <alignment horizontal="center"/>
    </xf>
    <xf numFmtId="0" fontId="0" fillId="0" borderId="0" xfId="0" applyAlignment="1">
      <alignment wrapText="1"/>
    </xf>
    <xf numFmtId="0" fontId="2" fillId="0" borderId="27" xfId="0" applyFont="1" applyBorder="1" applyAlignment="1">
      <alignment horizontal="left" vertical="center" wrapText="1"/>
    </xf>
    <xf numFmtId="0" fontId="12" fillId="0" borderId="27" xfId="0" applyFont="1" applyBorder="1" applyAlignment="1">
      <alignment horizontal="left" vertical="center" wrapText="1"/>
    </xf>
    <xf numFmtId="0" fontId="14" fillId="0" borderId="27" xfId="0" applyFont="1" applyBorder="1" applyAlignment="1">
      <alignment horizontal="center" wrapText="1"/>
    </xf>
    <xf numFmtId="0" fontId="0" fillId="0" borderId="27" xfId="0" applyBorder="1" applyAlignment="1">
      <alignment wrapText="1"/>
    </xf>
    <xf numFmtId="3" fontId="0" fillId="0" borderId="27" xfId="0" applyNumberFormat="1" applyBorder="1" applyAlignment="1">
      <alignment wrapText="1"/>
    </xf>
    <xf numFmtId="0" fontId="12" fillId="0" borderId="27" xfId="0" applyFont="1" applyBorder="1" applyAlignment="1">
      <alignment wrapText="1"/>
    </xf>
    <xf numFmtId="0" fontId="2" fillId="3" borderId="27" xfId="0" applyFont="1" applyFill="1" applyBorder="1" applyAlignment="1">
      <alignment horizontal="center" vertical="center" wrapText="1"/>
    </xf>
    <xf numFmtId="0" fontId="2" fillId="4" borderId="27" xfId="0" applyFont="1" applyFill="1" applyBorder="1" applyAlignment="1">
      <alignment horizontal="center" vertical="center" wrapText="1"/>
    </xf>
    <xf numFmtId="0" fontId="2" fillId="0" borderId="27" xfId="0" applyFont="1" applyBorder="1" applyAlignment="1">
      <alignment horizontal="center" vertical="center" wrapText="1"/>
    </xf>
    <xf numFmtId="164" fontId="2" fillId="0" borderId="27" xfId="0" applyNumberFormat="1" applyFont="1" applyBorder="1" applyAlignment="1">
      <alignment horizontal="center" vertical="center" wrapText="1"/>
    </xf>
    <xf numFmtId="4" fontId="14" fillId="0" borderId="27" xfId="0" applyNumberFormat="1" applyFont="1" applyBorder="1" applyAlignment="1">
      <alignment wrapText="1"/>
    </xf>
    <xf numFmtId="2" fontId="14" fillId="0" borderId="27" xfId="0" applyNumberFormat="1" applyFont="1" applyBorder="1" applyAlignment="1">
      <alignment wrapText="1"/>
    </xf>
    <xf numFmtId="0" fontId="3" fillId="0" borderId="27" xfId="0" applyFont="1" applyBorder="1" applyAlignment="1">
      <alignment horizontal="left" vertical="center" wrapText="1"/>
    </xf>
    <xf numFmtId="0" fontId="3" fillId="0" borderId="0" xfId="0" applyFont="1" applyAlignment="1">
      <alignment horizontal="left" vertical="top" wrapText="1"/>
    </xf>
    <xf numFmtId="0" fontId="2" fillId="0" borderId="0" xfId="0" applyFont="1" applyAlignment="1">
      <alignment vertical="center" wrapText="1"/>
    </xf>
    <xf numFmtId="0" fontId="17" fillId="0" borderId="27" xfId="0" applyFont="1" applyBorder="1" applyAlignment="1">
      <alignment horizontal="center" vertical="center" wrapText="1"/>
    </xf>
    <xf numFmtId="0" fontId="18" fillId="0" borderId="27" xfId="0" applyFont="1" applyBorder="1" applyAlignment="1">
      <alignment horizontal="center" vertical="center" wrapText="1"/>
    </xf>
    <xf numFmtId="0" fontId="19" fillId="0" borderId="27" xfId="0" applyFont="1" applyBorder="1" applyAlignment="1">
      <alignment horizontal="center" vertical="center" wrapText="1"/>
    </xf>
    <xf numFmtId="0" fontId="18" fillId="0" borderId="0" xfId="0" applyFont="1" applyAlignment="1">
      <alignment horizontal="center" vertical="center" wrapText="1"/>
    </xf>
    <xf numFmtId="0" fontId="20" fillId="0" borderId="0" xfId="0" applyFont="1" applyAlignment="1">
      <alignment horizontal="center" vertical="center" wrapText="1"/>
    </xf>
    <xf numFmtId="2" fontId="0" fillId="0" borderId="0" xfId="0" applyNumberFormat="1" applyAlignment="1">
      <alignment horizontal="center" vertical="center" wrapText="1"/>
    </xf>
    <xf numFmtId="0" fontId="0" fillId="0" borderId="0" xfId="0" applyAlignment="1">
      <alignment horizontal="center" vertical="center" wrapText="1"/>
    </xf>
    <xf numFmtId="0" fontId="21" fillId="4" borderId="27" xfId="0" applyFont="1" applyFill="1" applyBorder="1" applyAlignment="1">
      <alignment horizontal="center" vertical="center" wrapText="1"/>
    </xf>
    <xf numFmtId="164" fontId="17" fillId="0" borderId="27" xfId="0" applyNumberFormat="1" applyFont="1" applyBorder="1" applyAlignment="1">
      <alignment horizontal="center" vertical="center" wrapText="1"/>
    </xf>
    <xf numFmtId="0" fontId="24" fillId="0" borderId="15" xfId="0" applyFont="1" applyBorder="1" applyAlignment="1">
      <alignment horizontal="center"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27" fillId="0" borderId="2" xfId="0" applyFont="1" applyBorder="1" applyAlignment="1">
      <alignment horizontal="left" vertical="center" wrapText="1"/>
    </xf>
    <xf numFmtId="0" fontId="28" fillId="0" borderId="7" xfId="0" applyFont="1" applyBorder="1" applyAlignment="1">
      <alignment horizontal="left" vertical="top" wrapText="1"/>
    </xf>
    <xf numFmtId="0" fontId="29" fillId="0" borderId="15" xfId="0" applyFont="1" applyBorder="1" applyAlignment="1">
      <alignment horizontal="left" vertical="center" wrapText="1"/>
    </xf>
    <xf numFmtId="0" fontId="29" fillId="0" borderId="1" xfId="0" applyFont="1" applyBorder="1" applyAlignment="1">
      <alignment horizontal="left" vertical="center" wrapText="1"/>
    </xf>
    <xf numFmtId="0" fontId="29" fillId="0" borderId="2"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2" xfId="0" applyFont="1" applyBorder="1" applyAlignment="1">
      <alignment horizontal="left" vertical="center" wrapText="1"/>
    </xf>
    <xf numFmtId="0" fontId="31" fillId="0" borderId="7" xfId="0" applyFont="1" applyBorder="1" applyAlignment="1">
      <alignment horizontal="left" vertical="center" wrapText="1"/>
    </xf>
    <xf numFmtId="0" fontId="29" fillId="0" borderId="8"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26" xfId="0" applyFont="1" applyBorder="1" applyAlignment="1">
      <alignment horizontal="center" vertical="center" wrapText="1"/>
    </xf>
    <xf numFmtId="0" fontId="23" fillId="0" borderId="0" xfId="0" applyFont="1" applyAlignment="1">
      <alignment horizontal="center" vertical="center" wrapText="1"/>
    </xf>
    <xf numFmtId="0" fontId="33" fillId="5" borderId="27" xfId="0" applyFont="1" applyFill="1" applyBorder="1" applyAlignment="1">
      <alignment horizontal="left" vertical="center" wrapText="1"/>
    </xf>
    <xf numFmtId="0" fontId="34" fillId="0" borderId="27" xfId="0" applyFont="1" applyBorder="1" applyAlignment="1">
      <alignment horizontal="left" vertical="center" wrapText="1"/>
    </xf>
    <xf numFmtId="0" fontId="35" fillId="0" borderId="27" xfId="0" applyFont="1" applyBorder="1" applyAlignment="1">
      <alignment horizontal="left" vertical="center" wrapText="1"/>
    </xf>
    <xf numFmtId="0" fontId="35" fillId="0" borderId="27" xfId="0" applyFont="1" applyBorder="1" applyAlignment="1">
      <alignment horizontal="center" vertical="center" wrapText="1"/>
    </xf>
    <xf numFmtId="0" fontId="36" fillId="0" borderId="27" xfId="0" applyFont="1" applyBorder="1" applyAlignment="1">
      <alignment horizontal="center" vertical="center" wrapText="1"/>
    </xf>
    <xf numFmtId="0" fontId="9" fillId="0" borderId="15" xfId="0" applyFont="1" applyBorder="1" applyAlignment="1">
      <alignment horizontal="center"/>
    </xf>
    <xf numFmtId="0" fontId="39" fillId="0" borderId="0" xfId="0" applyFont="1" applyAlignment="1">
      <alignment wrapText="1"/>
    </xf>
    <xf numFmtId="0" fontId="40" fillId="0" borderId="15" xfId="0" applyFont="1" applyBorder="1" applyAlignment="1">
      <alignment horizontal="center" vertical="center" wrapText="1"/>
    </xf>
    <xf numFmtId="0" fontId="41" fillId="0" borderId="1" xfId="0" applyFont="1" applyBorder="1" applyAlignment="1">
      <alignment horizontal="left" vertical="center" wrapText="1"/>
    </xf>
    <xf numFmtId="0" fontId="41" fillId="0" borderId="2" xfId="0" applyFont="1" applyBorder="1" applyAlignment="1">
      <alignment horizontal="center" vertical="center" wrapText="1"/>
    </xf>
    <xf numFmtId="0" fontId="42" fillId="0" borderId="2" xfId="2" applyFont="1" applyBorder="1" applyAlignment="1">
      <alignment horizontal="left" vertical="center" wrapText="1"/>
    </xf>
    <xf numFmtId="0" fontId="43" fillId="0" borderId="2" xfId="0" applyFont="1" applyBorder="1" applyAlignment="1">
      <alignment horizontal="left" vertical="center" wrapText="1"/>
    </xf>
    <xf numFmtId="0" fontId="44" fillId="0" borderId="7" xfId="0" applyFont="1" applyBorder="1" applyAlignment="1">
      <alignment horizontal="left" vertical="top" wrapText="1"/>
    </xf>
    <xf numFmtId="0" fontId="40" fillId="0" borderId="15" xfId="0" applyFont="1" applyBorder="1" applyAlignment="1">
      <alignment horizontal="left" vertical="center" wrapText="1"/>
    </xf>
    <xf numFmtId="0" fontId="40" fillId="0" borderId="1" xfId="0" applyFont="1" applyBorder="1" applyAlignment="1">
      <alignment horizontal="lef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40" fillId="0" borderId="7" xfId="0" applyFont="1" applyBorder="1" applyAlignment="1">
      <alignment horizontal="left" vertical="center" wrapText="1"/>
    </xf>
    <xf numFmtId="0" fontId="40" fillId="0" borderId="8" xfId="0" applyFont="1" applyBorder="1" applyAlignment="1">
      <alignment horizontal="center" vertical="center" wrapText="1"/>
    </xf>
    <xf numFmtId="0" fontId="40" fillId="0" borderId="26" xfId="0" applyFont="1" applyBorder="1" applyAlignment="1">
      <alignment horizontal="center" vertical="center" wrapText="1"/>
    </xf>
    <xf numFmtId="0" fontId="36" fillId="0" borderId="0" xfId="0" applyFont="1" applyAlignment="1">
      <alignment horizontal="left" vertical="center" wrapText="1"/>
    </xf>
    <xf numFmtId="0" fontId="36" fillId="0" borderId="29" xfId="0" applyFont="1" applyBorder="1" applyAlignment="1" applyProtection="1">
      <alignment horizontal="left" vertical="center" wrapText="1"/>
      <protection locked="0"/>
    </xf>
    <xf numFmtId="0" fontId="40" fillId="5" borderId="7" xfId="0" applyFont="1" applyFill="1" applyBorder="1" applyAlignment="1">
      <alignment horizontal="left" vertical="center" wrapText="1"/>
    </xf>
    <xf numFmtId="0" fontId="46" fillId="5" borderId="2" xfId="0" applyFont="1" applyFill="1" applyBorder="1" applyAlignment="1">
      <alignment horizontal="left" vertical="center" wrapText="1"/>
    </xf>
    <xf numFmtId="0" fontId="44" fillId="0" borderId="7" xfId="0" applyFont="1" applyBorder="1" applyAlignment="1">
      <alignment horizontal="center" vertical="center" wrapText="1"/>
    </xf>
    <xf numFmtId="0" fontId="40" fillId="5" borderId="2" xfId="0" applyFont="1" applyFill="1" applyBorder="1" applyAlignment="1">
      <alignment horizontal="left" vertical="center" wrapText="1"/>
    </xf>
    <xf numFmtId="0" fontId="3" fillId="5" borderId="27" xfId="0" applyFont="1" applyFill="1" applyBorder="1" applyAlignment="1">
      <alignment horizontal="left" vertical="center" wrapText="1"/>
    </xf>
    <xf numFmtId="0" fontId="13" fillId="0" borderId="0" xfId="0" applyFont="1" applyAlignment="1">
      <alignment horizontal="center" wrapText="1"/>
    </xf>
    <xf numFmtId="0" fontId="16" fillId="3" borderId="0" xfId="0" applyFont="1" applyFill="1" applyAlignment="1">
      <alignment horizontal="center" vertical="center" wrapText="1"/>
    </xf>
    <xf numFmtId="0" fontId="10" fillId="0" borderId="18" xfId="0" applyFont="1" applyBorder="1" applyAlignment="1">
      <alignment horizontal="center" vertical="center" textRotation="255" wrapText="1"/>
    </xf>
    <xf numFmtId="0" fontId="10" fillId="0" borderId="20" xfId="0" applyFont="1" applyBorder="1" applyAlignment="1">
      <alignment horizontal="center" vertical="center" textRotation="255" wrapText="1"/>
    </xf>
    <xf numFmtId="0" fontId="10" fillId="0" borderId="22" xfId="0" applyFont="1" applyBorder="1" applyAlignment="1">
      <alignment horizontal="center" vertical="center" textRotation="255" wrapText="1"/>
    </xf>
    <xf numFmtId="0" fontId="11" fillId="0" borderId="13" xfId="0" applyFont="1" applyBorder="1" applyAlignment="1">
      <alignment horizontal="center" vertical="center" textRotation="255" wrapText="1"/>
    </xf>
    <xf numFmtId="0" fontId="11" fillId="0" borderId="16" xfId="0" applyFont="1" applyBorder="1" applyAlignment="1">
      <alignment horizontal="center" vertical="center" textRotation="255" wrapText="1"/>
    </xf>
    <xf numFmtId="0" fontId="11" fillId="0" borderId="17" xfId="0" applyFont="1" applyBorder="1" applyAlignment="1">
      <alignment horizontal="center" vertical="center" textRotation="255" wrapText="1"/>
    </xf>
    <xf numFmtId="0" fontId="5" fillId="0" borderId="2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5" xfId="0" applyFont="1" applyBorder="1" applyAlignment="1">
      <alignment horizontal="center" vertical="center" wrapText="1"/>
    </xf>
    <xf numFmtId="0" fontId="2" fillId="3" borderId="28" xfId="0" applyFont="1" applyFill="1" applyBorder="1" applyAlignment="1">
      <alignment horizontal="center" vertical="center" wrapText="1"/>
    </xf>
    <xf numFmtId="0" fontId="6" fillId="0" borderId="19" xfId="0" applyFont="1" applyBorder="1" applyAlignment="1">
      <alignment horizontal="center" vertical="top" wrapText="1"/>
    </xf>
    <xf numFmtId="0" fontId="6" fillId="0" borderId="21" xfId="0" applyFont="1" applyBorder="1" applyAlignment="1">
      <alignment horizontal="center" vertical="top" wrapText="1"/>
    </xf>
    <xf numFmtId="0" fontId="6" fillId="0" borderId="23" xfId="0" applyFont="1" applyBorder="1" applyAlignment="1">
      <alignment horizontal="center" vertical="top" wrapText="1"/>
    </xf>
    <xf numFmtId="0" fontId="36" fillId="2" borderId="0" xfId="0" applyFont="1" applyFill="1" applyAlignment="1">
      <alignment horizontal="center" vertical="center" wrapText="1"/>
    </xf>
    <xf numFmtId="0" fontId="36" fillId="0" borderId="30" xfId="0" applyFont="1" applyBorder="1" applyAlignment="1" applyProtection="1">
      <alignment horizontal="left" vertical="center" wrapText="1"/>
      <protection locked="0"/>
    </xf>
    <xf numFmtId="0" fontId="37" fillId="0" borderId="0" xfId="0" applyFont="1" applyAlignment="1" applyProtection="1">
      <alignment horizontal="left" vertical="center" wrapText="1"/>
      <protection locked="0"/>
    </xf>
    <xf numFmtId="0" fontId="37" fillId="0" borderId="30" xfId="0" applyFont="1" applyBorder="1" applyAlignment="1" applyProtection="1">
      <alignment horizontal="left" vertical="center" wrapText="1"/>
      <protection locked="0"/>
    </xf>
    <xf numFmtId="0" fontId="37" fillId="0" borderId="31" xfId="0" applyFont="1" applyBorder="1" applyAlignment="1" applyProtection="1">
      <alignment horizontal="left" vertical="center" wrapText="1"/>
      <protection locked="0"/>
    </xf>
    <xf numFmtId="0" fontId="36" fillId="0" borderId="31" xfId="0" applyFont="1" applyBorder="1" applyAlignment="1" applyProtection="1">
      <alignment horizontal="left" vertical="center" wrapText="1"/>
      <protection locked="0"/>
    </xf>
    <xf numFmtId="0" fontId="36" fillId="0" borderId="32" xfId="0" applyFont="1" applyBorder="1" applyAlignment="1" applyProtection="1">
      <alignment horizontal="left" vertical="center" wrapText="1"/>
      <protection locked="0"/>
    </xf>
    <xf numFmtId="0" fontId="36" fillId="0" borderId="0" xfId="0" applyFont="1" applyAlignment="1">
      <alignment horizontal="left" vertical="center" wrapText="1"/>
    </xf>
    <xf numFmtId="0" fontId="36" fillId="0" borderId="0" xfId="0" applyFont="1" applyAlignment="1">
      <alignment horizontal="center" vertical="center" wrapText="1"/>
    </xf>
    <xf numFmtId="0" fontId="10" fillId="0" borderId="18" xfId="0" applyFont="1" applyBorder="1" applyAlignment="1">
      <alignment horizontal="center" vertical="center" wrapText="1"/>
    </xf>
    <xf numFmtId="0" fontId="10" fillId="0" borderId="20" xfId="0" applyFont="1" applyBorder="1" applyAlignment="1">
      <alignment horizontal="center" vertical="center" wrapText="1"/>
    </xf>
    <xf numFmtId="0" fontId="10" fillId="0" borderId="22" xfId="0" applyFont="1" applyBorder="1" applyAlignment="1">
      <alignment horizontal="center" vertical="center" wrapText="1"/>
    </xf>
    <xf numFmtId="0" fontId="45" fillId="0" borderId="19" xfId="0" applyFont="1" applyBorder="1" applyAlignment="1">
      <alignment horizontal="center" vertical="top" wrapText="1"/>
    </xf>
    <xf numFmtId="0" fontId="11" fillId="0" borderId="13"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6" fillId="0" borderId="19" xfId="0" applyFont="1" applyBorder="1" applyAlignment="1">
      <alignment horizontal="left" vertical="top" wrapText="1"/>
    </xf>
    <xf numFmtId="0" fontId="6" fillId="0" borderId="21" xfId="0" applyFont="1" applyBorder="1" applyAlignment="1">
      <alignment horizontal="left" vertical="top" wrapText="1"/>
    </xf>
    <xf numFmtId="0" fontId="26" fillId="0" borderId="13"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7" xfId="0" applyFont="1" applyBorder="1" applyAlignment="1">
      <alignment horizontal="center" vertical="center" wrapText="1"/>
    </xf>
    <xf numFmtId="0" fontId="6" fillId="0" borderId="23" xfId="0" applyFont="1" applyBorder="1" applyAlignment="1">
      <alignment horizontal="left" vertical="top" wrapText="1"/>
    </xf>
  </cellXfs>
  <cellStyles count="3">
    <cellStyle name="Hipervínculo" xfId="2" builtinId="8"/>
    <cellStyle name="Hyperlink" xfId="1" xr:uid="{00000000-0005-0000-0000-000001000000}"/>
    <cellStyle name="Normal" xfId="0" builtinId="0"/>
  </cellStyles>
  <dxfs count="0"/>
  <tableStyles count="0" defaultTableStyle="TableStyleMedium2" defaultPivotStyle="PivotStyleLight16"/>
  <colors>
    <mruColors>
      <color rgb="FF008000"/>
      <color rgb="FF0033CC"/>
      <color rgb="FFFFFC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17" Type="http://schemas.openxmlformats.org/officeDocument/2006/relationships/customXml" Target="../customXml/item3.xml" /><Relationship Id="rId2" Type="http://schemas.openxmlformats.org/officeDocument/2006/relationships/worksheet" Target="worksheets/sheet2.xml" /><Relationship Id="rId16" Type="http://schemas.openxmlformats.org/officeDocument/2006/relationships/customXml" Target="../customXml/item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5" Type="http://schemas.openxmlformats.org/officeDocument/2006/relationships/customXml" Target="../customXml/item1.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0</xdr:col>
      <xdr:colOff>777240</xdr:colOff>
      <xdr:row>4</xdr:row>
      <xdr:rowOff>72612</xdr:rowOff>
    </xdr:from>
    <xdr:to>
      <xdr:col>3</xdr:col>
      <xdr:colOff>807720</xdr:colOff>
      <xdr:row>11</xdr:row>
      <xdr:rowOff>409575</xdr:rowOff>
    </xdr:to>
    <xdr:pic>
      <xdr:nvPicPr>
        <xdr:cNvPr id="4" name="Imagen 3">
          <a:extLst>
            <a:ext uri="{FF2B5EF4-FFF2-40B4-BE49-F238E27FC236}">
              <a16:creationId xmlns:a16="http://schemas.microsoft.com/office/drawing/2014/main" id="{1BFEE5B0-5D3F-6FE1-34D9-702A0ED7300C}"/>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777240" y="1581372"/>
          <a:ext cx="3718560" cy="33240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508558</xdr:colOff>
      <xdr:row>5</xdr:row>
      <xdr:rowOff>837754</xdr:rowOff>
    </xdr:from>
    <xdr:to>
      <xdr:col>10</xdr:col>
      <xdr:colOff>1228363</xdr:colOff>
      <xdr:row>7</xdr:row>
      <xdr:rowOff>63500</xdr:rowOff>
    </xdr:to>
    <xdr:sp macro="" textlink="">
      <xdr:nvSpPr>
        <xdr:cNvPr id="3" name="CuadroTexto 13">
          <a:extLst>
            <a:ext uri="{FF2B5EF4-FFF2-40B4-BE49-F238E27FC236}">
              <a16:creationId xmlns:a16="http://schemas.microsoft.com/office/drawing/2014/main" id="{00000000-0008-0000-0700-000003000000}"/>
            </a:ext>
          </a:extLst>
        </xdr:cNvPr>
        <xdr:cNvSpPr txBox="1"/>
      </xdr:nvSpPr>
      <xdr:spPr>
        <a:xfrm>
          <a:off x="13576858" y="1142554"/>
          <a:ext cx="5215605" cy="559246"/>
        </a:xfrm>
        <a:prstGeom prst="rect">
          <a:avLst/>
        </a:prstGeom>
        <a:noFill/>
      </xdr:spPr>
      <xdr:txBody>
        <a:bodyPr wrap="square" rtlCol="0">
          <a:noAutofit/>
        </a:bodyPr>
        <a:lstStyle>
          <a:defPPr>
            <a:defRPr lang="es-EC"/>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s-EC" sz="1400">
            <a:effectLst/>
            <a:latin typeface="Arial" panose="020B0604020202020204" pitchFamily="34" charset="0"/>
            <a:ea typeface="Calibri" panose="020F0502020204030204" pitchFamily="34" charset="0"/>
          </a:endParaRP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 /></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 /></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 /></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 /><Relationship Id="rId2" Type="http://schemas.openxmlformats.org/officeDocument/2006/relationships/vmlDrawing" Target="../drawings/vmlDrawing1.vml" /><Relationship Id="rId1" Type="http://schemas.openxmlformats.org/officeDocument/2006/relationships/printerSettings" Target="../printerSettings/printerSettings7.bin" /></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 /></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22"/>
  <sheetViews>
    <sheetView showGridLines="0" topLeftCell="A11" workbookViewId="0">
      <selection activeCell="H16" sqref="H16"/>
    </sheetView>
  </sheetViews>
  <sheetFormatPr defaultColWidth="10.625" defaultRowHeight="15" x14ac:dyDescent="0.2"/>
  <cols>
    <col min="1" max="1" width="10.625" style="25"/>
    <col min="2" max="2" width="21.38671875" style="25" customWidth="1"/>
    <col min="3" max="3" width="10.625" style="25"/>
    <col min="4" max="4" width="3.09375" style="25" customWidth="1"/>
    <col min="5" max="5" width="28.3828125" style="25" customWidth="1"/>
    <col min="6" max="6" width="10.625" style="25"/>
    <col min="7" max="7" width="4.16796875" style="25" customWidth="1"/>
    <col min="8" max="8" width="26.09765625" style="25" customWidth="1"/>
    <col min="9" max="9" width="10.625" style="25"/>
    <col min="10" max="10" width="3.62890625" style="25" customWidth="1"/>
    <col min="11" max="11" width="20.04296875" style="25" customWidth="1"/>
    <col min="12" max="12" width="10.625" style="25"/>
    <col min="13" max="13" width="3.62890625" style="25" customWidth="1"/>
    <col min="14" max="14" width="14.9296875" style="25" customWidth="1"/>
    <col min="15" max="15" width="10.625" style="25"/>
    <col min="16" max="16" width="4.16796875" style="25" customWidth="1"/>
    <col min="17" max="17" width="13.71875" style="25" customWidth="1"/>
    <col min="18" max="18" width="10.625" style="25"/>
    <col min="19" max="19" width="4.70703125" style="25" customWidth="1"/>
    <col min="20" max="20" width="13.046875" style="25" customWidth="1"/>
    <col min="21" max="21" width="12.375" style="25" customWidth="1"/>
    <col min="22" max="16384" width="10.625" style="25"/>
  </cols>
  <sheetData>
    <row r="2" spans="2:22" ht="25.9" customHeight="1" x14ac:dyDescent="0.3">
      <c r="B2" s="92" t="s">
        <v>27</v>
      </c>
      <c r="C2" s="92"/>
      <c r="D2" s="92"/>
      <c r="E2" s="92"/>
      <c r="F2" s="92"/>
      <c r="G2" s="92"/>
      <c r="H2" s="92"/>
      <c r="I2" s="92"/>
      <c r="J2" s="92"/>
      <c r="K2" s="92"/>
      <c r="L2" s="92"/>
      <c r="M2" s="92"/>
      <c r="N2" s="92"/>
      <c r="O2" s="92"/>
      <c r="P2" s="92"/>
      <c r="Q2" s="92"/>
      <c r="R2" s="92"/>
    </row>
    <row r="6" spans="2:22" ht="54.75" x14ac:dyDescent="0.2">
      <c r="B6" s="27" t="s">
        <v>28</v>
      </c>
      <c r="C6" s="28" t="s">
        <v>49</v>
      </c>
      <c r="E6" s="31" t="s">
        <v>31</v>
      </c>
      <c r="F6" s="28" t="s">
        <v>50</v>
      </c>
      <c r="H6" s="31" t="s">
        <v>36</v>
      </c>
      <c r="I6" s="28" t="s">
        <v>49</v>
      </c>
      <c r="K6" s="31" t="s">
        <v>24</v>
      </c>
      <c r="L6" s="28" t="s">
        <v>49</v>
      </c>
      <c r="N6" s="31" t="s">
        <v>25</v>
      </c>
      <c r="O6" s="28" t="s">
        <v>50</v>
      </c>
      <c r="Q6" s="31" t="s">
        <v>26</v>
      </c>
      <c r="R6" s="28" t="s">
        <v>50</v>
      </c>
      <c r="T6" s="47" t="s">
        <v>75</v>
      </c>
      <c r="U6" s="47" t="s">
        <v>74</v>
      </c>
      <c r="V6" s="47" t="s">
        <v>73</v>
      </c>
    </row>
    <row r="7" spans="2:22" ht="27.75" x14ac:dyDescent="0.2">
      <c r="B7" s="29" t="s">
        <v>51</v>
      </c>
      <c r="C7" s="36">
        <v>1</v>
      </c>
      <c r="E7" s="29" t="s">
        <v>32</v>
      </c>
      <c r="F7" s="37">
        <v>0.5</v>
      </c>
      <c r="H7" s="29" t="s">
        <v>37</v>
      </c>
      <c r="I7" s="37">
        <v>0.5</v>
      </c>
      <c r="K7" s="29" t="s">
        <v>40</v>
      </c>
      <c r="L7" s="37">
        <v>0.5</v>
      </c>
      <c r="N7" s="29" t="s">
        <v>43</v>
      </c>
      <c r="O7" s="37">
        <v>0.5</v>
      </c>
      <c r="Q7" s="29" t="s">
        <v>46</v>
      </c>
      <c r="R7" s="37">
        <v>1</v>
      </c>
      <c r="T7" s="46">
        <f>SUM(R7,O7,L7,I7,F7,C7)</f>
        <v>4</v>
      </c>
    </row>
    <row r="8" spans="2:22" ht="41.25" x14ac:dyDescent="0.2">
      <c r="B8" s="29" t="s">
        <v>52</v>
      </c>
      <c r="C8" s="36">
        <v>2</v>
      </c>
      <c r="E8" s="29" t="s">
        <v>33</v>
      </c>
      <c r="F8" s="37">
        <v>1</v>
      </c>
      <c r="H8" s="29" t="s">
        <v>38</v>
      </c>
      <c r="I8" s="37">
        <v>2</v>
      </c>
      <c r="K8" s="29" t="s">
        <v>41</v>
      </c>
      <c r="L8" s="37">
        <v>1</v>
      </c>
      <c r="N8" s="29" t="s">
        <v>44</v>
      </c>
      <c r="O8" s="37">
        <v>1</v>
      </c>
      <c r="Q8" s="29" t="s">
        <v>47</v>
      </c>
      <c r="R8" s="37">
        <v>2</v>
      </c>
      <c r="T8" s="46">
        <f>SUM(R7,O9,L7,I8,F8,C7)</f>
        <v>7.5</v>
      </c>
      <c r="U8" s="25" t="s">
        <v>76</v>
      </c>
      <c r="V8" s="45" t="s">
        <v>72</v>
      </c>
    </row>
    <row r="9" spans="2:22" ht="41.25" x14ac:dyDescent="0.2">
      <c r="B9" s="29" t="s">
        <v>29</v>
      </c>
      <c r="C9" s="36">
        <v>3</v>
      </c>
      <c r="E9" s="29" t="s">
        <v>34</v>
      </c>
      <c r="F9" s="37">
        <v>2</v>
      </c>
      <c r="H9" s="29" t="s">
        <v>39</v>
      </c>
      <c r="I9" s="37">
        <v>3</v>
      </c>
      <c r="K9" s="29" t="s">
        <v>42</v>
      </c>
      <c r="L9" s="37">
        <v>2</v>
      </c>
      <c r="N9" s="29" t="s">
        <v>45</v>
      </c>
      <c r="O9" s="37">
        <v>2</v>
      </c>
      <c r="Q9" s="29" t="s">
        <v>48</v>
      </c>
      <c r="R9" s="37">
        <v>3</v>
      </c>
      <c r="T9" s="46">
        <f>SUM(R8,O8,L7,I8,F9,C7)</f>
        <v>8.5</v>
      </c>
      <c r="U9" s="25" t="s">
        <v>77</v>
      </c>
      <c r="V9" s="45" t="s">
        <v>71</v>
      </c>
    </row>
    <row r="10" spans="2:22" x14ac:dyDescent="0.2">
      <c r="B10" s="30" t="s">
        <v>30</v>
      </c>
      <c r="C10" s="36">
        <v>4</v>
      </c>
      <c r="E10" s="29" t="s">
        <v>35</v>
      </c>
      <c r="F10" s="37">
        <v>3</v>
      </c>
    </row>
    <row r="14" spans="2:22" ht="41.25" x14ac:dyDescent="0.2">
      <c r="B14" s="25" t="s">
        <v>61</v>
      </c>
      <c r="E14" s="25" t="s">
        <v>119</v>
      </c>
      <c r="H14" s="25" t="s">
        <v>124</v>
      </c>
      <c r="K14" s="25" t="s">
        <v>127</v>
      </c>
      <c r="N14" s="25" t="s">
        <v>128</v>
      </c>
      <c r="Q14" s="71" t="s">
        <v>130</v>
      </c>
      <c r="T14" s="25" t="s">
        <v>138</v>
      </c>
    </row>
    <row r="15" spans="2:22" ht="41.25" x14ac:dyDescent="0.2">
      <c r="B15" s="25" t="s">
        <v>53</v>
      </c>
      <c r="E15" s="25" t="s">
        <v>38</v>
      </c>
      <c r="H15" s="25" t="s">
        <v>125</v>
      </c>
      <c r="K15" s="25" t="s">
        <v>103</v>
      </c>
      <c r="N15" s="25" t="s">
        <v>129</v>
      </c>
      <c r="Q15" s="71" t="s">
        <v>131</v>
      </c>
      <c r="T15" s="25" t="s">
        <v>139</v>
      </c>
    </row>
    <row r="16" spans="2:22" ht="26.45" customHeight="1" x14ac:dyDescent="0.2">
      <c r="B16" s="25" t="s">
        <v>54</v>
      </c>
      <c r="E16" s="25" t="s">
        <v>121</v>
      </c>
      <c r="H16" s="25" t="s">
        <v>175</v>
      </c>
      <c r="N16" s="25" t="s">
        <v>103</v>
      </c>
      <c r="Q16" s="71" t="s">
        <v>132</v>
      </c>
      <c r="T16" s="25" t="s">
        <v>140</v>
      </c>
    </row>
    <row r="17" spans="2:17" ht="27.75" x14ac:dyDescent="0.2">
      <c r="B17" s="25" t="s">
        <v>55</v>
      </c>
      <c r="E17" s="25" t="s">
        <v>120</v>
      </c>
      <c r="H17" s="25" t="s">
        <v>122</v>
      </c>
      <c r="Q17" s="71" t="s">
        <v>133</v>
      </c>
    </row>
    <row r="18" spans="2:17" ht="30.75" x14ac:dyDescent="0.2">
      <c r="B18" s="25" t="s">
        <v>56</v>
      </c>
      <c r="H18" s="25" t="s">
        <v>123</v>
      </c>
      <c r="Q18" s="71" t="s">
        <v>134</v>
      </c>
    </row>
    <row r="19" spans="2:17" ht="27.75" x14ac:dyDescent="0.2">
      <c r="B19" s="25" t="s">
        <v>57</v>
      </c>
      <c r="H19" s="25" t="s">
        <v>126</v>
      </c>
      <c r="Q19" s="71" t="s">
        <v>135</v>
      </c>
    </row>
    <row r="20" spans="2:17" ht="25.15" customHeight="1" x14ac:dyDescent="0.2">
      <c r="B20" s="25" t="s">
        <v>58</v>
      </c>
      <c r="Q20" s="71" t="s">
        <v>136</v>
      </c>
    </row>
    <row r="21" spans="2:17" ht="26.45" customHeight="1" x14ac:dyDescent="0.2">
      <c r="B21" s="25" t="s">
        <v>59</v>
      </c>
      <c r="Q21" s="71" t="s">
        <v>137</v>
      </c>
    </row>
    <row r="22" spans="2:17" ht="26.45" customHeight="1" x14ac:dyDescent="0.2">
      <c r="B22" s="25" t="s">
        <v>60</v>
      </c>
      <c r="Q22" s="71"/>
    </row>
  </sheetData>
  <mergeCells count="1">
    <mergeCell ref="B2:R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X64"/>
  <sheetViews>
    <sheetView showGridLines="0" topLeftCell="A2" zoomScale="72" zoomScaleNormal="72" workbookViewId="0">
      <selection activeCell="F6" sqref="F6"/>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94" t="s">
        <v>20</v>
      </c>
      <c r="C9" s="104" t="s">
        <v>23</v>
      </c>
      <c r="D9" s="97"/>
      <c r="E9" s="18"/>
      <c r="F9" s="72"/>
      <c r="G9" s="73"/>
      <c r="H9" s="74"/>
      <c r="I9" s="75"/>
      <c r="J9" s="76"/>
      <c r="K9" s="77"/>
      <c r="M9" s="6"/>
      <c r="N9" s="38"/>
      <c r="O9" s="26" t="str">
        <f>+G11</f>
        <v>COMBINADOS</v>
      </c>
      <c r="P9" s="26"/>
      <c r="Q9" s="26">
        <f>+F11</f>
        <v>0</v>
      </c>
      <c r="R9" s="41" t="s">
        <v>40</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95"/>
      <c r="C10" s="105"/>
      <c r="D10" s="98"/>
      <c r="E10" s="18"/>
      <c r="F10" s="23" t="s">
        <v>21</v>
      </c>
      <c r="G10" s="7" t="s">
        <v>22</v>
      </c>
      <c r="H10" s="8" t="s">
        <v>8</v>
      </c>
      <c r="I10" s="8" t="s">
        <v>9</v>
      </c>
      <c r="J10" s="8" t="s">
        <v>10</v>
      </c>
      <c r="K10" s="12" t="s">
        <v>11</v>
      </c>
      <c r="P10" s="3" t="s">
        <v>67</v>
      </c>
    </row>
    <row r="11" spans="1:24" s="3" customFormat="1" ht="106.9" customHeight="1" thickBot="1" x14ac:dyDescent="0.25">
      <c r="A11" s="2"/>
      <c r="B11" s="95"/>
      <c r="C11" s="105"/>
      <c r="D11" s="98"/>
      <c r="E11" s="18"/>
      <c r="F11" s="78"/>
      <c r="G11" s="79" t="s">
        <v>121</v>
      </c>
      <c r="H11" s="80" t="s">
        <v>127</v>
      </c>
      <c r="I11" s="81"/>
      <c r="J11" s="81"/>
      <c r="K11" s="82"/>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95"/>
      <c r="C12" s="105"/>
      <c r="D12" s="98"/>
      <c r="E12" s="18"/>
      <c r="F12" s="24"/>
      <c r="G12" s="100" t="s">
        <v>0</v>
      </c>
      <c r="H12" s="101"/>
      <c r="I12" s="101"/>
      <c r="J12" s="101"/>
      <c r="K12" s="102"/>
      <c r="N12" s="34" t="s">
        <v>61</v>
      </c>
      <c r="O12" s="34" t="s">
        <v>29</v>
      </c>
      <c r="P12" s="34" t="s">
        <v>35</v>
      </c>
      <c r="Q12" s="34" t="s">
        <v>38</v>
      </c>
      <c r="R12" s="34" t="s">
        <v>40</v>
      </c>
      <c r="S12" s="34" t="s">
        <v>45</v>
      </c>
      <c r="T12" s="34" t="s">
        <v>47</v>
      </c>
      <c r="U12" s="49">
        <f>VLOOKUP(O12,'CRITERIOS MTGE'!$B$7:$C$10,2,FALSE)+VLOOKUP(P12,'CRITERIOS MTGE'!$E$7:$F$10,2,FALSE)+VLOOKUP(Q12,'CRITERIOS MTGE'!$H$7:$I$9,2,FALSE)+VLOOKUP(R12,'CRITERIOS MTGE'!$K$7:$L$9,2,FALSE)+VLOOKUP(S12,'CRITERIOS MTGE'!$N$7:$O$9,2,FALSE)+VLOOKUP(T12,'CRITERIOS MTGE'!$Q$7:$R$9,2,FALSE)</f>
        <v>12.5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95"/>
      <c r="C13" s="105"/>
      <c r="D13" s="98"/>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96"/>
      <c r="C14" s="106"/>
      <c r="D14" s="99"/>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T7:X7"/>
    <mergeCell ref="B9:B14"/>
    <mergeCell ref="D9:D14"/>
    <mergeCell ref="G12:K12"/>
    <mergeCell ref="O7:P7"/>
    <mergeCell ref="C9:C14"/>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100-000000000000}">
          <x14:formula1>
            <xm:f>'CRITERIOS MTGE'!$B$7:$B$10</xm:f>
          </x14:formula1>
          <xm:sqref>O12</xm:sqref>
        </x14:dataValidation>
        <x14:dataValidation type="list" allowBlank="1" showInputMessage="1" showErrorMessage="1" xr:uid="{00000000-0002-0000-0100-000001000000}">
          <x14:formula1>
            <xm:f>'CRITERIOS MTGE'!$Q$7:$Q$9</xm:f>
          </x14:formula1>
          <xm:sqref>T12</xm:sqref>
        </x14:dataValidation>
        <x14:dataValidation type="list" allowBlank="1" showInputMessage="1" showErrorMessage="1" xr:uid="{00000000-0002-0000-0100-000002000000}">
          <x14:formula1>
            <xm:f>'CRITERIOS MTGE'!$N$7:$N$9</xm:f>
          </x14:formula1>
          <xm:sqref>S12 S9</xm:sqref>
        </x14:dataValidation>
        <x14:dataValidation type="list" allowBlank="1" showInputMessage="1" showErrorMessage="1" xr:uid="{00000000-0002-0000-0100-000003000000}">
          <x14:formula1>
            <xm:f>'CRITERIOS MTGE'!$K$7:$K$9</xm:f>
          </x14:formula1>
          <xm:sqref>R12 R9</xm:sqref>
        </x14:dataValidation>
        <x14:dataValidation type="list" allowBlank="1" showInputMessage="1" showErrorMessage="1" xr:uid="{00000000-0002-0000-0100-000004000000}">
          <x14:formula1>
            <xm:f>'CRITERIOS MTGE'!$H$7:$H$9</xm:f>
          </x14:formula1>
          <xm:sqref>Q12</xm:sqref>
        </x14:dataValidation>
        <x14:dataValidation type="list" allowBlank="1" showInputMessage="1" showErrorMessage="1" xr:uid="{00000000-0002-0000-0100-000005000000}">
          <x14:formula1>
            <xm:f>'CRITERIOS MTGE'!$E$7:$E$10</xm:f>
          </x14:formula1>
          <xm:sqref>P12</xm:sqref>
        </x14:dataValidation>
        <x14:dataValidation type="list" allowBlank="1" showInputMessage="1" showErrorMessage="1" xr:uid="{00000000-0002-0000-0100-000006000000}">
          <x14:formula1>
            <xm:f>'CRITERIOS MTGE'!$B$14:$B$22</xm:f>
          </x14:formula1>
          <xm:sqref>N12</xm:sqref>
        </x14:dataValidation>
        <x14:dataValidation type="list" allowBlank="1" showInputMessage="1" showErrorMessage="1" xr:uid="{9E9323A9-B3E6-4FDB-BBB7-AC6862209FBE}">
          <x14:formula1>
            <xm:f>'CRITERIOS MTGE'!$E$14:$E$17</xm:f>
          </x14:formula1>
          <xm:sqref>G11</xm:sqref>
        </x14:dataValidation>
        <x14:dataValidation type="list" allowBlank="1" showInputMessage="1" showErrorMessage="1" xr:uid="{19BBAAAD-7F89-420C-8640-DBC4049461AB}">
          <x14:formula1>
            <xm:f>'CRITERIOS MTGE'!$H$14:$H$19</xm:f>
          </x14:formula1>
          <xm:sqref>F11</xm:sqref>
        </x14:dataValidation>
        <x14:dataValidation type="list" allowBlank="1" showInputMessage="1" showErrorMessage="1" xr:uid="{42AB230A-6D5C-4E6A-A43A-F204B96DC708}">
          <x14:formula1>
            <xm:f>'CRITERIOS MTGE'!$K$14:$K$15</xm:f>
          </x14:formula1>
          <xm:sqref>H11 F14</xm:sqref>
        </x14:dataValidation>
        <x14:dataValidation type="list" allowBlank="1" showInputMessage="1" showErrorMessage="1" xr:uid="{098204CA-9F99-4AAB-AE53-D03CD8EFAEF5}">
          <x14:formula1>
            <xm:f>'CRITERIOS MTGE'!$N$14:$N$16</xm:f>
          </x14:formula1>
          <xm:sqref>I11</xm:sqref>
        </x14:dataValidation>
        <x14:dataValidation type="list" allowBlank="1" showInputMessage="1" showErrorMessage="1" xr:uid="{1C9B4141-C29C-4DBB-8215-BC2AE0ACC463}">
          <x14:formula1>
            <xm:f>'CRITERIOS MTGE'!$Q$14:$Q$21</xm:f>
          </x14:formula1>
          <xm:sqref>J11</xm:sqref>
        </x14:dataValidation>
        <x14:dataValidation type="list" allowBlank="1" showInputMessage="1" showErrorMessage="1" xr:uid="{DD435022-28B7-42E1-9D68-2BDCB6736A79}">
          <x14:formula1>
            <xm:f>'CRITERIOS MTGE'!$T$14:$T$16</xm:f>
          </x14:formula1>
          <xm:sqref>K11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BF157-5604-4DB5-8A44-AB057B520926}">
  <dimension ref="B3:L36"/>
  <sheetViews>
    <sheetView showGridLines="0" topLeftCell="B1" workbookViewId="0">
      <selection activeCell="F2" sqref="F2"/>
    </sheetView>
  </sheetViews>
  <sheetFormatPr defaultColWidth="30.8046875" defaultRowHeight="33.6" customHeight="1" x14ac:dyDescent="0.2"/>
  <cols>
    <col min="1" max="1" width="11.8359375" style="85" customWidth="1"/>
    <col min="2" max="2" width="11.1640625" style="85" customWidth="1"/>
    <col min="3" max="3" width="30.8046875" style="85"/>
    <col min="4" max="4" width="14.9296875" style="85" customWidth="1"/>
    <col min="5" max="6" width="30.8046875" style="85"/>
    <col min="7" max="7" width="3.2265625" style="85" customWidth="1"/>
    <col min="8" max="9" width="30.8046875" style="85"/>
    <col min="10" max="10" width="3.09375" style="85" customWidth="1"/>
    <col min="11" max="16384" width="30.8046875" style="85"/>
  </cols>
  <sheetData>
    <row r="3" spans="2:12" ht="33.6" customHeight="1" thickBot="1" x14ac:dyDescent="0.25"/>
    <row r="4" spans="2:12" ht="33.6" customHeight="1" thickBot="1" x14ac:dyDescent="0.3">
      <c r="B4" s="85" t="s">
        <v>141</v>
      </c>
      <c r="C4" s="86" t="s">
        <v>142</v>
      </c>
      <c r="E4" s="107" t="s">
        <v>143</v>
      </c>
      <c r="F4" s="107"/>
      <c r="H4" s="107" t="s">
        <v>144</v>
      </c>
      <c r="I4" s="107"/>
      <c r="K4" s="107" t="s">
        <v>145</v>
      </c>
      <c r="L4" s="107"/>
    </row>
    <row r="5" spans="2:12" ht="33.6" customHeight="1" thickBot="1" x14ac:dyDescent="0.25">
      <c r="E5" s="108" t="s">
        <v>146</v>
      </c>
      <c r="F5" s="108"/>
      <c r="H5" s="108" t="s">
        <v>147</v>
      </c>
      <c r="I5" s="108"/>
      <c r="K5" s="109" t="s">
        <v>148</v>
      </c>
      <c r="L5" s="109"/>
    </row>
    <row r="6" spans="2:12" ht="33.6" customHeight="1" thickBot="1" x14ac:dyDescent="0.25">
      <c r="E6" s="111" t="s">
        <v>149</v>
      </c>
      <c r="F6" s="111"/>
      <c r="H6" s="112" t="s">
        <v>121</v>
      </c>
      <c r="I6" s="112"/>
      <c r="K6" s="109"/>
      <c r="L6" s="109"/>
    </row>
    <row r="7" spans="2:12" ht="33.6" customHeight="1" thickBot="1" x14ac:dyDescent="0.25">
      <c r="E7" s="112" t="s">
        <v>150</v>
      </c>
      <c r="F7" s="112"/>
      <c r="H7" s="112" t="s">
        <v>151</v>
      </c>
      <c r="I7" s="112"/>
      <c r="K7" s="109"/>
      <c r="L7" s="109"/>
    </row>
    <row r="8" spans="2:12" ht="33.6" customHeight="1" thickBot="1" x14ac:dyDescent="0.25">
      <c r="E8" s="112" t="s">
        <v>152</v>
      </c>
      <c r="F8" s="112"/>
      <c r="H8" s="112" t="s">
        <v>153</v>
      </c>
      <c r="I8" s="112"/>
      <c r="K8" s="110"/>
      <c r="L8" s="110"/>
    </row>
    <row r="9" spans="2:12" ht="33.6" customHeight="1" thickBot="1" x14ac:dyDescent="0.25">
      <c r="E9" s="112" t="s">
        <v>154</v>
      </c>
      <c r="F9" s="112"/>
      <c r="H9" s="112" t="s">
        <v>155</v>
      </c>
      <c r="I9" s="112"/>
      <c r="K9" s="112"/>
      <c r="L9" s="112"/>
    </row>
    <row r="10" spans="2:12" ht="33.6" customHeight="1" thickBot="1" x14ac:dyDescent="0.25">
      <c r="E10" s="112" t="s">
        <v>156</v>
      </c>
      <c r="F10" s="112"/>
      <c r="H10" s="112" t="s">
        <v>157</v>
      </c>
      <c r="I10" s="112"/>
      <c r="K10" s="112"/>
      <c r="L10" s="112"/>
    </row>
    <row r="11" spans="2:12" ht="33.6" customHeight="1" thickBot="1" x14ac:dyDescent="0.25">
      <c r="E11" s="112" t="s">
        <v>158</v>
      </c>
      <c r="F11" s="112"/>
      <c r="H11" s="112"/>
      <c r="I11" s="112"/>
      <c r="K11" s="112"/>
      <c r="L11" s="112"/>
    </row>
    <row r="12" spans="2:12" ht="33.6" customHeight="1" thickBot="1" x14ac:dyDescent="0.25">
      <c r="E12" s="112" t="s">
        <v>159</v>
      </c>
      <c r="F12" s="112"/>
      <c r="H12" s="112"/>
      <c r="I12" s="112"/>
      <c r="K12" s="112"/>
      <c r="L12" s="112"/>
    </row>
    <row r="13" spans="2:12" ht="33.6" customHeight="1" thickBot="1" x14ac:dyDescent="0.25">
      <c r="E13" s="112" t="s">
        <v>160</v>
      </c>
      <c r="F13" s="112"/>
      <c r="H13" s="112"/>
      <c r="I13" s="112"/>
      <c r="K13" s="112"/>
      <c r="L13" s="112"/>
    </row>
    <row r="14" spans="2:12" ht="33.6" customHeight="1" x14ac:dyDescent="0.2">
      <c r="E14" s="113" t="s">
        <v>161</v>
      </c>
      <c r="F14" s="113"/>
      <c r="H14" s="113"/>
      <c r="I14" s="113"/>
      <c r="K14" s="113"/>
      <c r="L14" s="113"/>
    </row>
    <row r="15" spans="2:12" ht="33.6" customHeight="1" x14ac:dyDescent="0.2">
      <c r="E15" s="114"/>
      <c r="F15" s="114"/>
    </row>
    <row r="16" spans="2:12" ht="33.6" customHeight="1" x14ac:dyDescent="0.2">
      <c r="E16" s="114"/>
      <c r="F16" s="114"/>
    </row>
    <row r="17" spans="5:6" ht="33.6" customHeight="1" x14ac:dyDescent="0.2">
      <c r="E17" s="114"/>
      <c r="F17" s="114"/>
    </row>
    <row r="18" spans="5:6" ht="33.6" customHeight="1" x14ac:dyDescent="0.2">
      <c r="E18" s="114"/>
      <c r="F18" s="114"/>
    </row>
    <row r="19" spans="5:6" ht="33.6" customHeight="1" x14ac:dyDescent="0.2">
      <c r="E19" s="114"/>
      <c r="F19" s="114"/>
    </row>
    <row r="20" spans="5:6" ht="33.6" customHeight="1" x14ac:dyDescent="0.2">
      <c r="E20" s="114"/>
      <c r="F20" s="114"/>
    </row>
    <row r="21" spans="5:6" ht="33.6" customHeight="1" x14ac:dyDescent="0.2">
      <c r="E21" s="114"/>
      <c r="F21" s="114"/>
    </row>
    <row r="22" spans="5:6" ht="33.6" customHeight="1" x14ac:dyDescent="0.2">
      <c r="E22" s="114"/>
      <c r="F22" s="114"/>
    </row>
    <row r="23" spans="5:6" ht="33.6" customHeight="1" x14ac:dyDescent="0.2">
      <c r="E23" s="114"/>
      <c r="F23" s="114"/>
    </row>
    <row r="24" spans="5:6" ht="33.6" customHeight="1" x14ac:dyDescent="0.2">
      <c r="E24" s="114"/>
      <c r="F24" s="114"/>
    </row>
    <row r="25" spans="5:6" ht="33.6" customHeight="1" x14ac:dyDescent="0.2">
      <c r="E25" s="114"/>
      <c r="F25" s="114"/>
    </row>
    <row r="26" spans="5:6" ht="33.6" customHeight="1" x14ac:dyDescent="0.2">
      <c r="E26" s="114"/>
      <c r="F26" s="114"/>
    </row>
    <row r="27" spans="5:6" ht="33.6" customHeight="1" x14ac:dyDescent="0.2">
      <c r="E27" s="114"/>
      <c r="F27" s="114"/>
    </row>
    <row r="28" spans="5:6" ht="33.6" customHeight="1" x14ac:dyDescent="0.2">
      <c r="E28" s="114"/>
      <c r="F28" s="114"/>
    </row>
    <row r="29" spans="5:6" ht="33.6" customHeight="1" x14ac:dyDescent="0.2">
      <c r="E29" s="114"/>
      <c r="F29" s="114"/>
    </row>
    <row r="30" spans="5:6" ht="33.6" customHeight="1" x14ac:dyDescent="0.2">
      <c r="E30" s="114"/>
      <c r="F30" s="114"/>
    </row>
    <row r="31" spans="5:6" ht="33.6" customHeight="1" x14ac:dyDescent="0.2">
      <c r="E31" s="114"/>
      <c r="F31" s="114"/>
    </row>
    <row r="32" spans="5:6" ht="33.6" customHeight="1" x14ac:dyDescent="0.2">
      <c r="E32" s="114"/>
      <c r="F32" s="114"/>
    </row>
    <row r="33" spans="5:6" ht="33.6" customHeight="1" x14ac:dyDescent="0.2">
      <c r="E33" s="115"/>
      <c r="F33" s="115"/>
    </row>
    <row r="34" spans="5:6" ht="33.6" customHeight="1" x14ac:dyDescent="0.2">
      <c r="E34" s="115"/>
      <c r="F34" s="115"/>
    </row>
    <row r="35" spans="5:6" ht="33.6" customHeight="1" x14ac:dyDescent="0.2">
      <c r="E35" s="115"/>
      <c r="F35" s="115"/>
    </row>
    <row r="36" spans="5:6" ht="33.6" customHeight="1" x14ac:dyDescent="0.2">
      <c r="E36" s="115"/>
      <c r="F36" s="115"/>
    </row>
  </sheetData>
  <mergeCells count="52">
    <mergeCell ref="E33:F33"/>
    <mergeCell ref="E34:F34"/>
    <mergeCell ref="E35:F35"/>
    <mergeCell ref="E36:F36"/>
    <mergeCell ref="E27:F27"/>
    <mergeCell ref="E28:F28"/>
    <mergeCell ref="E29:F29"/>
    <mergeCell ref="E30:F30"/>
    <mergeCell ref="E31:F31"/>
    <mergeCell ref="E32:F32"/>
    <mergeCell ref="E14:F14"/>
    <mergeCell ref="H14:I14"/>
    <mergeCell ref="K14:L14"/>
    <mergeCell ref="E26:F26"/>
    <mergeCell ref="E15:F15"/>
    <mergeCell ref="E16:F16"/>
    <mergeCell ref="E17:F17"/>
    <mergeCell ref="E18:F18"/>
    <mergeCell ref="E19:F19"/>
    <mergeCell ref="E20:F20"/>
    <mergeCell ref="E21:F21"/>
    <mergeCell ref="E22:F22"/>
    <mergeCell ref="E23:F23"/>
    <mergeCell ref="E24:F24"/>
    <mergeCell ref="E25:F25"/>
    <mergeCell ref="E12:F12"/>
    <mergeCell ref="H12:I12"/>
    <mergeCell ref="K12:L12"/>
    <mergeCell ref="E13:F13"/>
    <mergeCell ref="H13:I13"/>
    <mergeCell ref="K13:L13"/>
    <mergeCell ref="H9:I9"/>
    <mergeCell ref="K9:L9"/>
    <mergeCell ref="E11:F11"/>
    <mergeCell ref="H11:I11"/>
    <mergeCell ref="K11:L11"/>
    <mergeCell ref="E10:F10"/>
    <mergeCell ref="H10:I10"/>
    <mergeCell ref="K10:L10"/>
    <mergeCell ref="E9:F9"/>
    <mergeCell ref="E4:F4"/>
    <mergeCell ref="H4:I4"/>
    <mergeCell ref="K4:L4"/>
    <mergeCell ref="E5:F5"/>
    <mergeCell ref="H5:I5"/>
    <mergeCell ref="K5:L8"/>
    <mergeCell ref="E6:F6"/>
    <mergeCell ref="H6:I6"/>
    <mergeCell ref="E7:F7"/>
    <mergeCell ref="H7:I7"/>
    <mergeCell ref="E8:F8"/>
    <mergeCell ref="H8:I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C5C7-C25E-448D-BB1E-E55F4101C85F}">
  <dimension ref="A6:X64"/>
  <sheetViews>
    <sheetView showGridLines="0" tabSelected="1" topLeftCell="K11" zoomScale="72" zoomScaleNormal="72" workbookViewId="0">
      <selection activeCell="O14" sqref="O14"/>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94" t="s">
        <v>20</v>
      </c>
      <c r="C9" s="104" t="s">
        <v>23</v>
      </c>
      <c r="D9" s="97" t="s">
        <v>162</v>
      </c>
      <c r="E9" s="18"/>
      <c r="F9" s="72"/>
      <c r="G9" s="73"/>
      <c r="H9" s="74"/>
      <c r="I9" s="75"/>
      <c r="J9" s="76"/>
      <c r="K9" s="77"/>
      <c r="M9" s="6"/>
      <c r="N9" s="38"/>
      <c r="O9" s="26" t="str">
        <f>+G11</f>
        <v>COMBINADOS</v>
      </c>
      <c r="P9" s="26"/>
      <c r="Q9" s="26">
        <f>+F11</f>
        <v>0</v>
      </c>
      <c r="R9" s="41" t="s">
        <v>40</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95"/>
      <c r="C10" s="105"/>
      <c r="D10" s="98"/>
      <c r="E10" s="18"/>
      <c r="F10" s="23" t="s">
        <v>21</v>
      </c>
      <c r="G10" s="7" t="s">
        <v>22</v>
      </c>
      <c r="H10" s="8" t="s">
        <v>8</v>
      </c>
      <c r="I10" s="8" t="s">
        <v>9</v>
      </c>
      <c r="J10" s="8" t="s">
        <v>10</v>
      </c>
      <c r="K10" s="12" t="s">
        <v>11</v>
      </c>
      <c r="P10" s="3" t="s">
        <v>67</v>
      </c>
    </row>
    <row r="11" spans="1:24" s="3" customFormat="1" ht="106.9" customHeight="1" thickBot="1" x14ac:dyDescent="0.3">
      <c r="A11" s="2"/>
      <c r="B11" s="95"/>
      <c r="C11" s="105"/>
      <c r="D11" s="98"/>
      <c r="E11" s="18"/>
      <c r="F11" s="78"/>
      <c r="G11" s="79" t="s">
        <v>121</v>
      </c>
      <c r="H11" s="80" t="s">
        <v>127</v>
      </c>
      <c r="I11" s="81" t="s">
        <v>129</v>
      </c>
      <c r="J11" s="81"/>
      <c r="K11" s="82"/>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95"/>
      <c r="C12" s="105"/>
      <c r="D12" s="98"/>
      <c r="E12" s="18"/>
      <c r="F12" s="24"/>
      <c r="G12" s="100" t="s">
        <v>0</v>
      </c>
      <c r="H12" s="101"/>
      <c r="I12" s="101"/>
      <c r="J12" s="101"/>
      <c r="K12" s="102"/>
      <c r="N12" s="34" t="s">
        <v>55</v>
      </c>
      <c r="O12" s="34" t="s">
        <v>29</v>
      </c>
      <c r="P12" s="34" t="s">
        <v>35</v>
      </c>
      <c r="Q12" s="34" t="s">
        <v>38</v>
      </c>
      <c r="R12" s="34" t="s">
        <v>40</v>
      </c>
      <c r="S12" s="34" t="s">
        <v>45</v>
      </c>
      <c r="T12" s="34" t="s">
        <v>47</v>
      </c>
      <c r="U12" s="49">
        <f>VLOOKUP(O12,'CRITERIOS MTGE'!$B$7:$C$10,2,FALSE)+VLOOKUP(P12,'CRITERIOS MTGE'!$E$7:$F$10,2,FALSE)+VLOOKUP(Q12,'CRITERIOS MTGE'!$H$7:$I$9,2,FALSE)+VLOOKUP(R12,'CRITERIOS MTGE'!$K$7:$L$9,2,FALSE)+VLOOKUP(S12,'CRITERIOS MTGE'!$N$7:$O$9,2,FALSE)+VLOOKUP(T12,'CRITERIOS MTGE'!$Q$7:$R$9,2,FALSE)</f>
        <v>12.5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95"/>
      <c r="C13" s="105"/>
      <c r="D13" s="98"/>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96"/>
      <c r="C14" s="106"/>
      <c r="D14" s="99"/>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7321CC55-6187-49C2-B8BA-5E2764C6E7A7}">
          <x14:formula1>
            <xm:f>'CRITERIOS MTGE'!$T$14:$T$16</xm:f>
          </x14:formula1>
          <xm:sqref>K11</xm:sqref>
        </x14:dataValidation>
        <x14:dataValidation type="list" allowBlank="1" showInputMessage="1" showErrorMessage="1" xr:uid="{F70EA47D-5671-4F20-A71B-80B24E5DE0C6}">
          <x14:formula1>
            <xm:f>'CRITERIOS MTGE'!$Q$14:$Q$21</xm:f>
          </x14:formula1>
          <xm:sqref>J11</xm:sqref>
        </x14:dataValidation>
        <x14:dataValidation type="list" allowBlank="1" showInputMessage="1" showErrorMessage="1" xr:uid="{53EDFC53-2EDF-486E-ACEA-8661D46AA31D}">
          <x14:formula1>
            <xm:f>'CRITERIOS MTGE'!$N$14:$N$16</xm:f>
          </x14:formula1>
          <xm:sqref>I11</xm:sqref>
        </x14:dataValidation>
        <x14:dataValidation type="list" allowBlank="1" showInputMessage="1" showErrorMessage="1" xr:uid="{D35E2E35-7B82-47F0-B2AD-5069F177AAB1}">
          <x14:formula1>
            <xm:f>'CRITERIOS MTGE'!$K$14:$K$15</xm:f>
          </x14:formula1>
          <xm:sqref>H11 F14</xm:sqref>
        </x14:dataValidation>
        <x14:dataValidation type="list" allowBlank="1" showInputMessage="1" showErrorMessage="1" xr:uid="{4F1B7C14-CEFC-4266-9BC8-192A256B8880}">
          <x14:formula1>
            <xm:f>'CRITERIOS MTGE'!$H$14:$H$19</xm:f>
          </x14:formula1>
          <xm:sqref>F11</xm:sqref>
        </x14:dataValidation>
        <x14:dataValidation type="list" allowBlank="1" showInputMessage="1" showErrorMessage="1" xr:uid="{01A6657A-27D1-47FE-9FF8-0035A11A6DDE}">
          <x14:formula1>
            <xm:f>'CRITERIOS MTGE'!$E$14:$E$17</xm:f>
          </x14:formula1>
          <xm:sqref>G11</xm:sqref>
        </x14:dataValidation>
        <x14:dataValidation type="list" allowBlank="1" showInputMessage="1" showErrorMessage="1" xr:uid="{CD2E635B-7032-4A6C-81CF-35534164A2BA}">
          <x14:formula1>
            <xm:f>'CRITERIOS MTGE'!$B$14:$B$22</xm:f>
          </x14:formula1>
          <xm:sqref>N12</xm:sqref>
        </x14:dataValidation>
        <x14:dataValidation type="list" allowBlank="1" showInputMessage="1" showErrorMessage="1" xr:uid="{623CD287-CECA-4A79-A0C2-86D4B64DB0C2}">
          <x14:formula1>
            <xm:f>'CRITERIOS MTGE'!$E$7:$E$10</xm:f>
          </x14:formula1>
          <xm:sqref>P12</xm:sqref>
        </x14:dataValidation>
        <x14:dataValidation type="list" allowBlank="1" showInputMessage="1" showErrorMessage="1" xr:uid="{5267A0E6-3D4F-4BB6-9600-11331B955FCC}">
          <x14:formula1>
            <xm:f>'CRITERIOS MTGE'!$H$7:$H$9</xm:f>
          </x14:formula1>
          <xm:sqref>Q12</xm:sqref>
        </x14:dataValidation>
        <x14:dataValidation type="list" allowBlank="1" showInputMessage="1" showErrorMessage="1" xr:uid="{C0BA5D97-52A8-476C-AEA9-C40D945AB631}">
          <x14:formula1>
            <xm:f>'CRITERIOS MTGE'!$K$7:$K$9</xm:f>
          </x14:formula1>
          <xm:sqref>R12 R9</xm:sqref>
        </x14:dataValidation>
        <x14:dataValidation type="list" allowBlank="1" showInputMessage="1" showErrorMessage="1" xr:uid="{B7C6FE6E-0515-44E8-9F1D-4AAFD92C46B0}">
          <x14:formula1>
            <xm:f>'CRITERIOS MTGE'!$N$7:$N$9</xm:f>
          </x14:formula1>
          <xm:sqref>S12 S9</xm:sqref>
        </x14:dataValidation>
        <x14:dataValidation type="list" allowBlank="1" showInputMessage="1" showErrorMessage="1" xr:uid="{A16762E9-DEB9-4BEA-A131-00DCB1802A27}">
          <x14:formula1>
            <xm:f>'CRITERIOS MTGE'!$Q$7:$Q$9</xm:f>
          </x14:formula1>
          <xm:sqref>T12</xm:sqref>
        </x14:dataValidation>
        <x14:dataValidation type="list" allowBlank="1" showInputMessage="1" showErrorMessage="1" xr:uid="{C0EFE089-B71C-4435-ABE0-0042894A7982}">
          <x14:formula1>
            <xm:f>'CRITERIOS MTGE'!$B$7:$B$10</xm:f>
          </x14:formula1>
          <xm:sqref>O12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DA00-03E5-4633-8854-92F054CDD396}">
  <dimension ref="A6:X64"/>
  <sheetViews>
    <sheetView showGridLines="0" topLeftCell="A2" zoomScale="72" zoomScaleNormal="72" workbookViewId="0">
      <selection activeCell="G6" sqref="G6"/>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94" t="s">
        <v>20</v>
      </c>
      <c r="C9" s="104" t="s">
        <v>23</v>
      </c>
      <c r="D9" s="97" t="s">
        <v>162</v>
      </c>
      <c r="E9" s="18"/>
      <c r="F9" s="72"/>
      <c r="G9" s="73"/>
      <c r="H9" s="74"/>
      <c r="I9" s="75"/>
      <c r="J9" s="76"/>
      <c r="K9" s="77"/>
      <c r="M9" s="6"/>
      <c r="N9" s="38"/>
      <c r="O9" s="26" t="str">
        <f>+G11</f>
        <v>COMBINADOS</v>
      </c>
      <c r="P9" s="26"/>
      <c r="Q9" s="26">
        <f>+F11</f>
        <v>0</v>
      </c>
      <c r="R9" s="41" t="s">
        <v>40</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95"/>
      <c r="C10" s="105"/>
      <c r="D10" s="98"/>
      <c r="E10" s="18"/>
      <c r="F10" s="23" t="s">
        <v>21</v>
      </c>
      <c r="G10" s="7" t="s">
        <v>22</v>
      </c>
      <c r="H10" s="8" t="s">
        <v>8</v>
      </c>
      <c r="I10" s="8" t="s">
        <v>9</v>
      </c>
      <c r="J10" s="8" t="s">
        <v>10</v>
      </c>
      <c r="K10" s="12" t="s">
        <v>11</v>
      </c>
      <c r="P10" s="3" t="s">
        <v>67</v>
      </c>
    </row>
    <row r="11" spans="1:24" s="3" customFormat="1" ht="106.9" customHeight="1" thickBot="1" x14ac:dyDescent="0.25">
      <c r="A11" s="2"/>
      <c r="B11" s="95"/>
      <c r="C11" s="105"/>
      <c r="D11" s="98"/>
      <c r="E11" s="18"/>
      <c r="F11" s="78"/>
      <c r="G11" s="79" t="s">
        <v>121</v>
      </c>
      <c r="H11" s="80" t="s">
        <v>127</v>
      </c>
      <c r="I11" s="81"/>
      <c r="J11" s="81"/>
      <c r="K11" s="82"/>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95"/>
      <c r="C12" s="105"/>
      <c r="D12" s="98"/>
      <c r="E12" s="18"/>
      <c r="F12" s="24"/>
      <c r="G12" s="100" t="s">
        <v>0</v>
      </c>
      <c r="H12" s="101"/>
      <c r="I12" s="101"/>
      <c r="J12" s="101"/>
      <c r="K12" s="102"/>
      <c r="N12" s="34" t="s">
        <v>61</v>
      </c>
      <c r="O12" s="34" t="s">
        <v>29</v>
      </c>
      <c r="P12" s="34" t="s">
        <v>35</v>
      </c>
      <c r="Q12" s="34" t="s">
        <v>38</v>
      </c>
      <c r="R12" s="34" t="s">
        <v>40</v>
      </c>
      <c r="S12" s="34" t="s">
        <v>45</v>
      </c>
      <c r="T12" s="34" t="s">
        <v>47</v>
      </c>
      <c r="U12" s="49">
        <f>VLOOKUP(O12,'CRITERIOS MTGE'!$B$7:$C$10,2,FALSE)+VLOOKUP(P12,'CRITERIOS MTGE'!$E$7:$F$10,2,FALSE)+VLOOKUP(Q12,'CRITERIOS MTGE'!$H$7:$I$9,2,FALSE)+VLOOKUP(R12,'CRITERIOS MTGE'!$K$7:$L$9,2,FALSE)+VLOOKUP(S12,'CRITERIOS MTGE'!$N$7:$O$9,2,FALSE)+VLOOKUP(T12,'CRITERIOS MTGE'!$Q$7:$R$9,2,FALSE)</f>
        <v>12.5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95"/>
      <c r="C13" s="105"/>
      <c r="D13" s="98"/>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96"/>
      <c r="C14" s="106"/>
      <c r="D14" s="99"/>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67E14125-493C-47ED-BB6E-8CF87CBC4929}">
          <x14:formula1>
            <xm:f>'CRITERIOS MTGE'!$B$7:$B$10</xm:f>
          </x14:formula1>
          <xm:sqref>O12</xm:sqref>
        </x14:dataValidation>
        <x14:dataValidation type="list" allowBlank="1" showInputMessage="1" showErrorMessage="1" xr:uid="{9C8840D8-408D-4265-96BD-A0F53A252344}">
          <x14:formula1>
            <xm:f>'CRITERIOS MTGE'!$Q$7:$Q$9</xm:f>
          </x14:formula1>
          <xm:sqref>T12</xm:sqref>
        </x14:dataValidation>
        <x14:dataValidation type="list" allowBlank="1" showInputMessage="1" showErrorMessage="1" xr:uid="{51DB57BD-A021-4B03-9F6A-0B56EB5639FD}">
          <x14:formula1>
            <xm:f>'CRITERIOS MTGE'!$N$7:$N$9</xm:f>
          </x14:formula1>
          <xm:sqref>S12 S9</xm:sqref>
        </x14:dataValidation>
        <x14:dataValidation type="list" allowBlank="1" showInputMessage="1" showErrorMessage="1" xr:uid="{A59C7876-11B7-4DB3-8044-D200477F1F1E}">
          <x14:formula1>
            <xm:f>'CRITERIOS MTGE'!$K$7:$K$9</xm:f>
          </x14:formula1>
          <xm:sqref>R12 R9</xm:sqref>
        </x14:dataValidation>
        <x14:dataValidation type="list" allowBlank="1" showInputMessage="1" showErrorMessage="1" xr:uid="{37E3B010-2E6D-4AA0-89EF-68C13DF33487}">
          <x14:formula1>
            <xm:f>'CRITERIOS MTGE'!$H$7:$H$9</xm:f>
          </x14:formula1>
          <xm:sqref>Q12</xm:sqref>
        </x14:dataValidation>
        <x14:dataValidation type="list" allowBlank="1" showInputMessage="1" showErrorMessage="1" xr:uid="{CCD54AF6-793F-490F-B24E-2694DE3711A0}">
          <x14:formula1>
            <xm:f>'CRITERIOS MTGE'!$E$7:$E$10</xm:f>
          </x14:formula1>
          <xm:sqref>P12</xm:sqref>
        </x14:dataValidation>
        <x14:dataValidation type="list" allowBlank="1" showInputMessage="1" showErrorMessage="1" xr:uid="{266C6DF5-C364-4E19-8C20-9AC75529FD1A}">
          <x14:formula1>
            <xm:f>'CRITERIOS MTGE'!$B$14:$B$22</xm:f>
          </x14:formula1>
          <xm:sqref>N12</xm:sqref>
        </x14:dataValidation>
        <x14:dataValidation type="list" allowBlank="1" showInputMessage="1" showErrorMessage="1" xr:uid="{E2FAA4D2-8D5D-4A91-84D7-2FDCB3F7FC66}">
          <x14:formula1>
            <xm:f>'CRITERIOS MTGE'!$E$14:$E$17</xm:f>
          </x14:formula1>
          <xm:sqref>G11</xm:sqref>
        </x14:dataValidation>
        <x14:dataValidation type="list" allowBlank="1" showInputMessage="1" showErrorMessage="1" xr:uid="{741D3704-1CD0-4429-BEB9-939A3F5E3D69}">
          <x14:formula1>
            <xm:f>'CRITERIOS MTGE'!$H$14:$H$19</xm:f>
          </x14:formula1>
          <xm:sqref>F11</xm:sqref>
        </x14:dataValidation>
        <x14:dataValidation type="list" allowBlank="1" showInputMessage="1" showErrorMessage="1" xr:uid="{43494159-7AFE-4C0F-A18D-6658DDAB1B7C}">
          <x14:formula1>
            <xm:f>'CRITERIOS MTGE'!$K$14:$K$15</xm:f>
          </x14:formula1>
          <xm:sqref>H11 F14</xm:sqref>
        </x14:dataValidation>
        <x14:dataValidation type="list" allowBlank="1" showInputMessage="1" showErrorMessage="1" xr:uid="{C25CB6B6-93E8-4091-A036-E94E9DCB30D7}">
          <x14:formula1>
            <xm:f>'CRITERIOS MTGE'!$N$14:$N$16</xm:f>
          </x14:formula1>
          <xm:sqref>I11</xm:sqref>
        </x14:dataValidation>
        <x14:dataValidation type="list" allowBlank="1" showInputMessage="1" showErrorMessage="1" xr:uid="{C73F0B2D-7AC6-4DA9-8F84-239258BD8CA4}">
          <x14:formula1>
            <xm:f>'CRITERIOS MTGE'!$Q$14:$Q$21</xm:f>
          </x14:formula1>
          <xm:sqref>J11</xm:sqref>
        </x14:dataValidation>
        <x14:dataValidation type="list" allowBlank="1" showInputMessage="1" showErrorMessage="1" xr:uid="{0B19502F-730A-4023-996E-70E3CDF2466F}">
          <x14:formula1>
            <xm:f>'CRITERIOS MTGE'!$T$14:$T$16</xm:f>
          </x14:formula1>
          <xm:sqref>K11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5C540-3C76-40DB-9592-3821518CB843}">
  <dimension ref="A6:X64"/>
  <sheetViews>
    <sheetView showGridLines="0" topLeftCell="B1" zoomScale="53" zoomScaleNormal="53" workbookViewId="0">
      <selection activeCell="I9" sqref="F9:I9"/>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116" t="s">
        <v>163</v>
      </c>
      <c r="C9" s="119" t="s">
        <v>164</v>
      </c>
      <c r="D9" s="120" t="s">
        <v>178</v>
      </c>
      <c r="E9" s="18"/>
      <c r="F9" s="72" t="s">
        <v>166</v>
      </c>
      <c r="G9" s="73" t="s">
        <v>167</v>
      </c>
      <c r="H9" s="74" t="s">
        <v>168</v>
      </c>
      <c r="I9" s="73" t="s">
        <v>167</v>
      </c>
      <c r="J9" s="76" t="s">
        <v>169</v>
      </c>
      <c r="K9" s="77" t="s">
        <v>170</v>
      </c>
      <c r="M9" s="6"/>
      <c r="N9" s="38" t="s">
        <v>171</v>
      </c>
      <c r="O9" s="26" t="str">
        <f>+G11</f>
        <v>BÁSICOS</v>
      </c>
      <c r="P9" s="26" t="s">
        <v>172</v>
      </c>
      <c r="Q9" s="26" t="str">
        <f>+F11</f>
        <v>TITULAREES EXTERNOS - VISITAS</v>
      </c>
      <c r="R9" s="41" t="s">
        <v>40</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117"/>
      <c r="C10" s="105"/>
      <c r="D10" s="121"/>
      <c r="E10" s="18"/>
      <c r="F10" s="23" t="s">
        <v>21</v>
      </c>
      <c r="G10" s="7" t="s">
        <v>22</v>
      </c>
      <c r="H10" s="8" t="s">
        <v>8</v>
      </c>
      <c r="I10" s="8" t="s">
        <v>9</v>
      </c>
      <c r="J10" s="8" t="s">
        <v>10</v>
      </c>
      <c r="K10" s="12" t="s">
        <v>11</v>
      </c>
      <c r="P10" s="3" t="s">
        <v>67</v>
      </c>
    </row>
    <row r="11" spans="1:24" s="3" customFormat="1" ht="106.9" customHeight="1" thickBot="1" x14ac:dyDescent="0.3">
      <c r="A11" s="2"/>
      <c r="B11" s="117"/>
      <c r="C11" s="105"/>
      <c r="D11" s="121"/>
      <c r="E11" s="18"/>
      <c r="F11" s="78" t="s">
        <v>122</v>
      </c>
      <c r="G11" s="79" t="s">
        <v>119</v>
      </c>
      <c r="H11" s="80" t="s">
        <v>103</v>
      </c>
      <c r="I11" s="80" t="s">
        <v>103</v>
      </c>
      <c r="J11" s="81" t="s">
        <v>131</v>
      </c>
      <c r="K11" s="82" t="s">
        <v>138</v>
      </c>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117"/>
      <c r="C12" s="105"/>
      <c r="D12" s="121"/>
      <c r="E12" s="18"/>
      <c r="F12" s="24"/>
      <c r="G12" s="100" t="s">
        <v>0</v>
      </c>
      <c r="H12" s="101"/>
      <c r="I12" s="101"/>
      <c r="J12" s="101"/>
      <c r="K12" s="102"/>
      <c r="N12" s="34" t="s">
        <v>61</v>
      </c>
      <c r="O12" s="34" t="s">
        <v>51</v>
      </c>
      <c r="P12" s="34" t="s">
        <v>32</v>
      </c>
      <c r="Q12" s="34" t="s">
        <v>37</v>
      </c>
      <c r="R12" s="34" t="s">
        <v>40</v>
      </c>
      <c r="S12" s="34" t="s">
        <v>43</v>
      </c>
      <c r="T12" s="34" t="s">
        <v>46</v>
      </c>
      <c r="U12" s="49">
        <f>VLOOKUP(O12,'CRITERIOS MTGE'!$B$7:$C$10,2,FALSE)+VLOOKUP(P12,'CRITERIOS MTGE'!$E$7:$F$10,2,FALSE)+VLOOKUP(Q12,'CRITERIOS MTGE'!$H$7:$I$9,2,FALSE)+VLOOKUP(R12,'CRITERIOS MTGE'!$K$7:$L$9,2,FALSE)+VLOOKUP(S12,'CRITERIOS MTGE'!$N$7:$O$9,2,FALSE)+VLOOKUP(T12,'CRITERIOS MTGE'!$Q$7:$R$9,2,FALSE)</f>
        <v>4</v>
      </c>
      <c r="V12" s="35" t="str">
        <f>IF($U$12&gt;=6,"OBLIGADO","NO OBLIGADO")</f>
        <v>NO OBLIGADO</v>
      </c>
      <c r="W12" s="35" t="str">
        <f t="shared" ref="W12:X12" si="1">IF($U$12&gt;=6,"OBLIGADO","NO OBLIGADO")</f>
        <v>NO OBLIGADO</v>
      </c>
      <c r="X12" s="35" t="str">
        <f t="shared" si="1"/>
        <v>NO OBLIGADO</v>
      </c>
    </row>
    <row r="13" spans="1:24" s="3" customFormat="1" ht="57.4" customHeight="1" thickBot="1" x14ac:dyDescent="0.25">
      <c r="A13" s="2"/>
      <c r="B13" s="117"/>
      <c r="C13" s="105"/>
      <c r="D13" s="121"/>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118"/>
      <c r="C14" s="106"/>
      <c r="D14" s="122"/>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BC9403CD-5CA4-4226-9C46-CA9943CCE33E}">
          <x14:formula1>
            <xm:f>'CRITERIOS MTGE'!$T$14:$T$16</xm:f>
          </x14:formula1>
          <xm:sqref>K11</xm:sqref>
        </x14:dataValidation>
        <x14:dataValidation type="list" allowBlank="1" showInputMessage="1" showErrorMessage="1" xr:uid="{47DFDE00-F4F4-4843-AF20-8702A09289F3}">
          <x14:formula1>
            <xm:f>'CRITERIOS MTGE'!$Q$14:$Q$21</xm:f>
          </x14:formula1>
          <xm:sqref>J11</xm:sqref>
        </x14:dataValidation>
        <x14:dataValidation type="list" allowBlank="1" showInputMessage="1" showErrorMessage="1" xr:uid="{3F16B04B-B8BF-4791-99B0-A8FE29CC7CC9}">
          <x14:formula1>
            <xm:f>'CRITERIOS MTGE'!$N$14:$N$16</xm:f>
          </x14:formula1>
          <xm:sqref>I11</xm:sqref>
        </x14:dataValidation>
        <x14:dataValidation type="list" allowBlank="1" showInputMessage="1" showErrorMessage="1" xr:uid="{D32FA4D6-0280-43FF-8A0E-3CD2543A5860}">
          <x14:formula1>
            <xm:f>'CRITERIOS MTGE'!$K$14:$K$15</xm:f>
          </x14:formula1>
          <xm:sqref>H11 F14</xm:sqref>
        </x14:dataValidation>
        <x14:dataValidation type="list" allowBlank="1" showInputMessage="1" showErrorMessage="1" xr:uid="{63C3106A-986E-40B8-9FBE-A81311276CAC}">
          <x14:formula1>
            <xm:f>'CRITERIOS MTGE'!$H$14:$H$19</xm:f>
          </x14:formula1>
          <xm:sqref>F11</xm:sqref>
        </x14:dataValidation>
        <x14:dataValidation type="list" allowBlank="1" showInputMessage="1" showErrorMessage="1" xr:uid="{B9C929D2-0040-477D-862E-5D551CCCD8B8}">
          <x14:formula1>
            <xm:f>'CRITERIOS MTGE'!$E$14:$E$17</xm:f>
          </x14:formula1>
          <xm:sqref>G11</xm:sqref>
        </x14:dataValidation>
        <x14:dataValidation type="list" allowBlank="1" showInputMessage="1" showErrorMessage="1" xr:uid="{56B8128B-8539-473E-91C3-D5FE764D28A2}">
          <x14:formula1>
            <xm:f>'CRITERIOS MTGE'!$B$14:$B$22</xm:f>
          </x14:formula1>
          <xm:sqref>N12</xm:sqref>
        </x14:dataValidation>
        <x14:dataValidation type="list" allowBlank="1" showInputMessage="1" showErrorMessage="1" xr:uid="{41844229-4E05-4ECD-B3E4-D610D686D127}">
          <x14:formula1>
            <xm:f>'CRITERIOS MTGE'!$E$7:$E$10</xm:f>
          </x14:formula1>
          <xm:sqref>P12</xm:sqref>
        </x14:dataValidation>
        <x14:dataValidation type="list" allowBlank="1" showInputMessage="1" showErrorMessage="1" xr:uid="{A36349A5-95DA-41C0-A363-E57964A6FA53}">
          <x14:formula1>
            <xm:f>'CRITERIOS MTGE'!$H$7:$H$9</xm:f>
          </x14:formula1>
          <xm:sqref>Q12</xm:sqref>
        </x14:dataValidation>
        <x14:dataValidation type="list" allowBlank="1" showInputMessage="1" showErrorMessage="1" xr:uid="{4ED38440-11F1-4EC0-954E-6C0831A70D9F}">
          <x14:formula1>
            <xm:f>'CRITERIOS MTGE'!$K$7:$K$9</xm:f>
          </x14:formula1>
          <xm:sqref>R12 R9</xm:sqref>
        </x14:dataValidation>
        <x14:dataValidation type="list" allowBlank="1" showInputMessage="1" showErrorMessage="1" xr:uid="{43E45E70-1F23-4B27-9E4C-6D035A8F8E78}">
          <x14:formula1>
            <xm:f>'CRITERIOS MTGE'!$N$7:$N$9</xm:f>
          </x14:formula1>
          <xm:sqref>S12 S9</xm:sqref>
        </x14:dataValidation>
        <x14:dataValidation type="list" allowBlank="1" showInputMessage="1" showErrorMessage="1" xr:uid="{3378A783-BC59-432F-A6BB-B0A41AC7B7F6}">
          <x14:formula1>
            <xm:f>'CRITERIOS MTGE'!$Q$7:$Q$9</xm:f>
          </x14:formula1>
          <xm:sqref>T12</xm:sqref>
        </x14:dataValidation>
        <x14:dataValidation type="list" allowBlank="1" showInputMessage="1" showErrorMessage="1" xr:uid="{AE0C9C59-16BC-4E66-BE43-991529115BCB}">
          <x14:formula1>
            <xm:f>'CRITERIOS MTGE'!$B$7:$B$10</xm:f>
          </x14:formula1>
          <xm:sqref>O12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6C926-F066-4147-8A1F-FFC7E82662FB}">
  <sheetPr>
    <tabColor rgb="FFC00000"/>
  </sheetPr>
  <dimension ref="A6:X64"/>
  <sheetViews>
    <sheetView showGridLines="0" topLeftCell="B1" zoomScale="72" zoomScaleNormal="72" workbookViewId="0">
      <selection activeCell="F11" sqref="F11"/>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116" t="s">
        <v>163</v>
      </c>
      <c r="C9" s="119" t="s">
        <v>164</v>
      </c>
      <c r="D9" s="120" t="s">
        <v>165</v>
      </c>
      <c r="E9" s="18"/>
      <c r="F9" s="72" t="s">
        <v>166</v>
      </c>
      <c r="G9" s="73" t="s">
        <v>167</v>
      </c>
      <c r="H9" s="74" t="s">
        <v>168</v>
      </c>
      <c r="I9" s="73" t="s">
        <v>167</v>
      </c>
      <c r="J9" s="76" t="s">
        <v>173</v>
      </c>
      <c r="K9" s="77" t="s">
        <v>174</v>
      </c>
      <c r="M9" s="6"/>
      <c r="N9" s="38" t="s">
        <v>176</v>
      </c>
      <c r="O9" s="26" t="str">
        <f>+G11</f>
        <v>COMBINADOS</v>
      </c>
      <c r="P9" s="26" t="s">
        <v>177</v>
      </c>
      <c r="Q9" s="26" t="str">
        <f>+F11</f>
        <v>TITULARES EXTERNOS  E INTERNOS EN TODAS LAS CATEGORÍAS</v>
      </c>
      <c r="R9" s="41" t="s">
        <v>42</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117"/>
      <c r="C10" s="105"/>
      <c r="D10" s="121"/>
      <c r="E10" s="18"/>
      <c r="F10" s="23" t="s">
        <v>21</v>
      </c>
      <c r="G10" s="7" t="s">
        <v>22</v>
      </c>
      <c r="H10" s="8" t="s">
        <v>8</v>
      </c>
      <c r="I10" s="8" t="s">
        <v>9</v>
      </c>
      <c r="J10" s="8" t="s">
        <v>10</v>
      </c>
      <c r="K10" s="12" t="s">
        <v>11</v>
      </c>
    </row>
    <row r="11" spans="1:24" s="3" customFormat="1" ht="106.9" customHeight="1" thickBot="1" x14ac:dyDescent="0.3">
      <c r="A11" s="2"/>
      <c r="B11" s="117"/>
      <c r="C11" s="105"/>
      <c r="D11" s="121"/>
      <c r="E11" s="18"/>
      <c r="F11" s="78" t="s">
        <v>175</v>
      </c>
      <c r="G11" s="79" t="s">
        <v>121</v>
      </c>
      <c r="H11" s="80" t="s">
        <v>103</v>
      </c>
      <c r="I11" s="81" t="s">
        <v>103</v>
      </c>
      <c r="J11" s="81" t="s">
        <v>134</v>
      </c>
      <c r="K11" s="87" t="s">
        <v>138</v>
      </c>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117"/>
      <c r="C12" s="105"/>
      <c r="D12" s="121"/>
      <c r="E12" s="18"/>
      <c r="F12" s="24"/>
      <c r="G12" s="100" t="s">
        <v>0</v>
      </c>
      <c r="H12" s="101"/>
      <c r="I12" s="101"/>
      <c r="J12" s="101"/>
      <c r="K12" s="102"/>
      <c r="N12" s="34" t="s">
        <v>61</v>
      </c>
      <c r="O12" s="34" t="s">
        <v>51</v>
      </c>
      <c r="P12" s="34" t="s">
        <v>34</v>
      </c>
      <c r="Q12" s="34" t="s">
        <v>38</v>
      </c>
      <c r="R12" s="34" t="s">
        <v>40</v>
      </c>
      <c r="S12" s="34" t="s">
        <v>45</v>
      </c>
      <c r="T12" s="34" t="s">
        <v>46</v>
      </c>
      <c r="U12" s="49">
        <f>VLOOKUP(O12,'CRITERIOS MTGE'!$B$7:$C$10,2,FALSE)+VLOOKUP(P12,'CRITERIOS MTGE'!$E$7:$F$10,2,FALSE)+VLOOKUP(Q12,'CRITERIOS MTGE'!$H$7:$I$9,2,FALSE)+VLOOKUP(R12,'CRITERIOS MTGE'!$K$7:$L$9,2,FALSE)+VLOOKUP(S12,'CRITERIOS MTGE'!$N$7:$O$9,2,FALSE)+VLOOKUP(T12,'CRITERIOS MTGE'!$Q$7:$R$9,2,FALSE)</f>
        <v>8.5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117"/>
      <c r="C13" s="105"/>
      <c r="D13" s="121"/>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118"/>
      <c r="C14" s="106"/>
      <c r="D14" s="122"/>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A4976884-1DE7-4C1D-8C28-66EF1739CC98}">
          <x14:formula1>
            <xm:f>'CRITERIOS MTGE'!$B$7:$B$10</xm:f>
          </x14:formula1>
          <xm:sqref>O12</xm:sqref>
        </x14:dataValidation>
        <x14:dataValidation type="list" allowBlank="1" showInputMessage="1" showErrorMessage="1" xr:uid="{081B1224-4CCB-481B-919A-56E584B60654}">
          <x14:formula1>
            <xm:f>'CRITERIOS MTGE'!$Q$7:$Q$9</xm:f>
          </x14:formula1>
          <xm:sqref>T12</xm:sqref>
        </x14:dataValidation>
        <x14:dataValidation type="list" allowBlank="1" showInputMessage="1" showErrorMessage="1" xr:uid="{3D567752-2B64-4FD4-95E0-BFCB150E3024}">
          <x14:formula1>
            <xm:f>'CRITERIOS MTGE'!$N$7:$N$9</xm:f>
          </x14:formula1>
          <xm:sqref>S12 S9</xm:sqref>
        </x14:dataValidation>
        <x14:dataValidation type="list" allowBlank="1" showInputMessage="1" showErrorMessage="1" xr:uid="{3E3253CD-5179-4BF5-B4B7-0BB52CDECA2E}">
          <x14:formula1>
            <xm:f>'CRITERIOS MTGE'!$K$7:$K$9</xm:f>
          </x14:formula1>
          <xm:sqref>R12 R9</xm:sqref>
        </x14:dataValidation>
        <x14:dataValidation type="list" allowBlank="1" showInputMessage="1" showErrorMessage="1" xr:uid="{8C3C3629-5721-4AEE-B502-FABDEA414878}">
          <x14:formula1>
            <xm:f>'CRITERIOS MTGE'!$H$7:$H$9</xm:f>
          </x14:formula1>
          <xm:sqref>Q12</xm:sqref>
        </x14:dataValidation>
        <x14:dataValidation type="list" allowBlank="1" showInputMessage="1" showErrorMessage="1" xr:uid="{937BF9A4-6FFF-4D49-86B1-66BB2FD4E732}">
          <x14:formula1>
            <xm:f>'CRITERIOS MTGE'!$E$7:$E$10</xm:f>
          </x14:formula1>
          <xm:sqref>P12</xm:sqref>
        </x14:dataValidation>
        <x14:dataValidation type="list" allowBlank="1" showInputMessage="1" showErrorMessage="1" xr:uid="{FA3E6175-FDA3-491F-8D4C-E42F5E833890}">
          <x14:formula1>
            <xm:f>'CRITERIOS MTGE'!$B$14:$B$22</xm:f>
          </x14:formula1>
          <xm:sqref>N12</xm:sqref>
        </x14:dataValidation>
        <x14:dataValidation type="list" allowBlank="1" showInputMessage="1" showErrorMessage="1" xr:uid="{5169F5EE-32B4-46CF-A822-860720FF6BC7}">
          <x14:formula1>
            <xm:f>'CRITERIOS MTGE'!$E$14:$E$17</xm:f>
          </x14:formula1>
          <xm:sqref>G11</xm:sqref>
        </x14:dataValidation>
        <x14:dataValidation type="list" allowBlank="1" showInputMessage="1" showErrorMessage="1" xr:uid="{FF6E2833-E7B6-4756-8C8B-CB0BD385E0D5}">
          <x14:formula1>
            <xm:f>'CRITERIOS MTGE'!$H$14:$H$19</xm:f>
          </x14:formula1>
          <xm:sqref>F11</xm:sqref>
        </x14:dataValidation>
        <x14:dataValidation type="list" allowBlank="1" showInputMessage="1" showErrorMessage="1" xr:uid="{C29F9655-CC17-4774-AB12-A3D263EBC3AB}">
          <x14:formula1>
            <xm:f>'CRITERIOS MTGE'!$K$14:$K$15</xm:f>
          </x14:formula1>
          <xm:sqref>H11 F14</xm:sqref>
        </x14:dataValidation>
        <x14:dataValidation type="list" allowBlank="1" showInputMessage="1" showErrorMessage="1" xr:uid="{C58E9063-FAE9-475A-8C0E-7B509CE805FC}">
          <x14:formula1>
            <xm:f>'CRITERIOS MTGE'!$N$14:$N$16</xm:f>
          </x14:formula1>
          <xm:sqref>I11</xm:sqref>
        </x14:dataValidation>
        <x14:dataValidation type="list" allowBlank="1" showInputMessage="1" showErrorMessage="1" xr:uid="{61D3709C-BE4D-4624-854A-9DF0817E2711}">
          <x14:formula1>
            <xm:f>'CRITERIOS MTGE'!$Q$14:$Q$21</xm:f>
          </x14:formula1>
          <xm:sqref>J11</xm:sqref>
        </x14:dataValidation>
        <x14:dataValidation type="list" allowBlank="1" showInputMessage="1" showErrorMessage="1" xr:uid="{B98FC078-9F4A-44A1-AEB2-FD0BDCF94C00}">
          <x14:formula1>
            <xm:f>'CRITERIOS MTGE'!$T$14:$T$16</xm:f>
          </x14:formula1>
          <xm:sqref>K11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BF685-30CB-4A80-93A9-78C7FA8EA1A5}">
  <sheetPr>
    <tabColor rgb="FFC00000"/>
  </sheetPr>
  <dimension ref="A6:X64"/>
  <sheetViews>
    <sheetView showGridLines="0" topLeftCell="B5" zoomScale="72" zoomScaleNormal="72" workbookViewId="0">
      <selection activeCell="F9" sqref="F9:I9"/>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182</v>
      </c>
      <c r="Q8" s="32" t="s">
        <v>82</v>
      </c>
      <c r="R8" s="32" t="s">
        <v>83</v>
      </c>
      <c r="S8" s="32" t="s">
        <v>84</v>
      </c>
      <c r="T8" s="16" t="s">
        <v>86</v>
      </c>
      <c r="U8" s="9" t="s">
        <v>87</v>
      </c>
      <c r="V8" s="9" t="s">
        <v>88</v>
      </c>
      <c r="W8" s="9" t="s">
        <v>89</v>
      </c>
      <c r="X8" s="13" t="s">
        <v>90</v>
      </c>
    </row>
    <row r="9" spans="1:24" s="2" customFormat="1" ht="99.4" customHeight="1" thickBot="1" x14ac:dyDescent="0.3">
      <c r="B9" s="116" t="s">
        <v>163</v>
      </c>
      <c r="C9" s="119" t="s">
        <v>164</v>
      </c>
      <c r="D9" s="120" t="s">
        <v>179</v>
      </c>
      <c r="E9" s="18"/>
      <c r="F9" s="72" t="s">
        <v>166</v>
      </c>
      <c r="G9" s="73" t="s">
        <v>167</v>
      </c>
      <c r="H9" s="74" t="s">
        <v>168</v>
      </c>
      <c r="I9" s="73" t="s">
        <v>167</v>
      </c>
      <c r="J9" s="88" t="s">
        <v>180</v>
      </c>
      <c r="K9" s="89" t="s">
        <v>181</v>
      </c>
      <c r="M9" s="6"/>
      <c r="N9" s="91" t="s">
        <v>184</v>
      </c>
      <c r="O9" s="42" t="str">
        <f>+G11</f>
        <v>ESPECIALES</v>
      </c>
      <c r="P9" s="26" t="s">
        <v>183</v>
      </c>
      <c r="Q9" s="26" t="str">
        <f>+F11</f>
        <v>TITULARES INTERNOS - EMPLEADO</v>
      </c>
      <c r="R9" s="41" t="s">
        <v>41</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117"/>
      <c r="C10" s="105"/>
      <c r="D10" s="121"/>
      <c r="E10" s="18"/>
      <c r="F10" s="23" t="s">
        <v>21</v>
      </c>
      <c r="G10" s="7" t="s">
        <v>22</v>
      </c>
      <c r="H10" s="8" t="s">
        <v>8</v>
      </c>
      <c r="I10" s="8" t="s">
        <v>9</v>
      </c>
      <c r="J10" s="8" t="s">
        <v>10</v>
      </c>
      <c r="K10" s="12" t="s">
        <v>11</v>
      </c>
    </row>
    <row r="11" spans="1:24" s="3" customFormat="1" ht="106.9" customHeight="1" thickBot="1" x14ac:dyDescent="0.3">
      <c r="A11" s="2"/>
      <c r="B11" s="117"/>
      <c r="C11" s="105"/>
      <c r="D11" s="121"/>
      <c r="E11" s="18"/>
      <c r="F11" s="78" t="s">
        <v>125</v>
      </c>
      <c r="G11" s="79" t="s">
        <v>38</v>
      </c>
      <c r="H11" s="80" t="s">
        <v>127</v>
      </c>
      <c r="I11" s="80" t="s">
        <v>103</v>
      </c>
      <c r="J11" s="90"/>
      <c r="K11" s="87"/>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117"/>
      <c r="C12" s="105"/>
      <c r="D12" s="121"/>
      <c r="E12" s="18"/>
      <c r="F12" s="24"/>
      <c r="G12" s="100" t="s">
        <v>0</v>
      </c>
      <c r="H12" s="101"/>
      <c r="I12" s="101"/>
      <c r="J12" s="101"/>
      <c r="K12" s="102"/>
      <c r="N12" s="34" t="s">
        <v>61</v>
      </c>
      <c r="O12" s="34" t="s">
        <v>51</v>
      </c>
      <c r="P12" s="34" t="s">
        <v>32</v>
      </c>
      <c r="Q12" s="34" t="s">
        <v>38</v>
      </c>
      <c r="R12" s="34" t="s">
        <v>41</v>
      </c>
      <c r="S12" s="34" t="s">
        <v>45</v>
      </c>
      <c r="T12" s="34" t="s">
        <v>46</v>
      </c>
      <c r="U12" s="49">
        <f>VLOOKUP(O12,'CRITERIOS MTGE'!$B$7:$C$10,2,FALSE)+VLOOKUP(P12,'CRITERIOS MTGE'!$E$7:$F$10,2,FALSE)+VLOOKUP(Q12,'CRITERIOS MTGE'!$H$7:$I$9,2,FALSE)+VLOOKUP(R12,'CRITERIOS MTGE'!$K$7:$L$9,2,FALSE)+VLOOKUP(S12,'CRITERIOS MTGE'!$N$7:$O$9,2,FALSE)+VLOOKUP(T12,'CRITERIOS MTGE'!$Q$7:$R$9,2,FALSE)</f>
        <v>7.5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117"/>
      <c r="C13" s="105"/>
      <c r="D13" s="121"/>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118"/>
      <c r="C14" s="106"/>
      <c r="D14" s="122"/>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E5E45850-150D-4807-B113-C7D672622D05}">
          <x14:formula1>
            <xm:f>'CRITERIOS MTGE'!$T$14:$T$16</xm:f>
          </x14:formula1>
          <xm:sqref>K11</xm:sqref>
        </x14:dataValidation>
        <x14:dataValidation type="list" allowBlank="1" showInputMessage="1" showErrorMessage="1" xr:uid="{AE566802-B1E5-4BFC-8F63-2E600865C545}">
          <x14:formula1>
            <xm:f>'CRITERIOS MTGE'!$Q$14:$Q$21</xm:f>
          </x14:formula1>
          <xm:sqref>J11</xm:sqref>
        </x14:dataValidation>
        <x14:dataValidation type="list" allowBlank="1" showInputMessage="1" showErrorMessage="1" xr:uid="{62C98AD6-5C53-48AC-A92C-3BB2A3319E93}">
          <x14:formula1>
            <xm:f>'CRITERIOS MTGE'!$N$14:$N$16</xm:f>
          </x14:formula1>
          <xm:sqref>I11</xm:sqref>
        </x14:dataValidation>
        <x14:dataValidation type="list" allowBlank="1" showInputMessage="1" showErrorMessage="1" xr:uid="{C70866E7-4A4D-4D3E-AC14-DAEBCBD2DAF5}">
          <x14:formula1>
            <xm:f>'CRITERIOS MTGE'!$K$14:$K$15</xm:f>
          </x14:formula1>
          <xm:sqref>H11 F14</xm:sqref>
        </x14:dataValidation>
        <x14:dataValidation type="list" allowBlank="1" showInputMessage="1" showErrorMessage="1" xr:uid="{D0FEAC2B-57B1-47F3-8FF2-45A7D012FE63}">
          <x14:formula1>
            <xm:f>'CRITERIOS MTGE'!$H$14:$H$19</xm:f>
          </x14:formula1>
          <xm:sqref>F11</xm:sqref>
        </x14:dataValidation>
        <x14:dataValidation type="list" allowBlank="1" showInputMessage="1" showErrorMessage="1" xr:uid="{540AD34C-CD60-4EA9-8BD0-5DF3A55E498C}">
          <x14:formula1>
            <xm:f>'CRITERIOS MTGE'!$E$14:$E$17</xm:f>
          </x14:formula1>
          <xm:sqref>G11</xm:sqref>
        </x14:dataValidation>
        <x14:dataValidation type="list" allowBlank="1" showInputMessage="1" showErrorMessage="1" xr:uid="{A3C4EF6E-60BA-4402-B536-A7EB3675BA90}">
          <x14:formula1>
            <xm:f>'CRITERIOS MTGE'!$B$14:$B$22</xm:f>
          </x14:formula1>
          <xm:sqref>N12</xm:sqref>
        </x14:dataValidation>
        <x14:dataValidation type="list" allowBlank="1" showInputMessage="1" showErrorMessage="1" xr:uid="{0A9118B0-6212-4181-948D-A01295B2FAAA}">
          <x14:formula1>
            <xm:f>'CRITERIOS MTGE'!$E$7:$E$10</xm:f>
          </x14:formula1>
          <xm:sqref>P12</xm:sqref>
        </x14:dataValidation>
        <x14:dataValidation type="list" allowBlank="1" showInputMessage="1" showErrorMessage="1" xr:uid="{BC09A1F4-DDFD-4A7A-9213-6D125437387C}">
          <x14:formula1>
            <xm:f>'CRITERIOS MTGE'!$H$7:$H$9</xm:f>
          </x14:formula1>
          <xm:sqref>Q12</xm:sqref>
        </x14:dataValidation>
        <x14:dataValidation type="list" allowBlank="1" showInputMessage="1" showErrorMessage="1" xr:uid="{EF84CECC-5B84-4AA4-8C90-82565E4013AD}">
          <x14:formula1>
            <xm:f>'CRITERIOS MTGE'!$K$7:$K$9</xm:f>
          </x14:formula1>
          <xm:sqref>R12 R9</xm:sqref>
        </x14:dataValidation>
        <x14:dataValidation type="list" allowBlank="1" showInputMessage="1" showErrorMessage="1" xr:uid="{E9A9ED1A-CB8A-436C-B57D-9B5091EB4264}">
          <x14:formula1>
            <xm:f>'CRITERIOS MTGE'!$N$7:$N$9</xm:f>
          </x14:formula1>
          <xm:sqref>S12 S9</xm:sqref>
        </x14:dataValidation>
        <x14:dataValidation type="list" allowBlank="1" showInputMessage="1" showErrorMessage="1" xr:uid="{918FBA97-4A19-477E-946E-BAEB67E71C23}">
          <x14:formula1>
            <xm:f>'CRITERIOS MTGE'!$Q$7:$Q$9</xm:f>
          </x14:formula1>
          <xm:sqref>T12</xm:sqref>
        </x14:dataValidation>
        <x14:dataValidation type="list" allowBlank="1" showInputMessage="1" showErrorMessage="1" xr:uid="{A049FDE2-3075-4A27-BE72-2AE98A4E6EAA}">
          <x14:formula1>
            <xm:f>'CRITERIOS MTGE'!$B$7:$B$10</xm:f>
          </x14:formula1>
          <xm:sqref>O12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CB9AE-67DD-49C1-ABA0-C99699047475}">
  <dimension ref="A6:X64"/>
  <sheetViews>
    <sheetView showGridLines="0" topLeftCell="C2" zoomScale="72" zoomScaleNormal="72" workbookViewId="0">
      <selection activeCell="H7" sqref="H7"/>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3">
      <c r="B9" s="116" t="s">
        <v>163</v>
      </c>
      <c r="C9" s="119" t="s">
        <v>164</v>
      </c>
      <c r="D9" s="120" t="s">
        <v>185</v>
      </c>
      <c r="E9" s="18"/>
      <c r="F9" s="72" t="s">
        <v>166</v>
      </c>
      <c r="G9" s="73" t="s">
        <v>167</v>
      </c>
      <c r="H9" s="74" t="s">
        <v>168</v>
      </c>
      <c r="I9" s="73" t="s">
        <v>167</v>
      </c>
      <c r="J9" s="76"/>
      <c r="K9" s="77"/>
      <c r="M9" s="6"/>
      <c r="N9" s="38"/>
      <c r="O9" s="26" t="str">
        <f>+G11</f>
        <v>COMBINADOS</v>
      </c>
      <c r="P9" s="26"/>
      <c r="Q9" s="26">
        <f>+F11</f>
        <v>0</v>
      </c>
      <c r="R9" s="41" t="s">
        <v>40</v>
      </c>
      <c r="S9" s="42" t="s">
        <v>45</v>
      </c>
      <c r="T9" s="43" t="str">
        <f>+G14</f>
        <v>PANSI JURÍDICO</v>
      </c>
      <c r="U9" s="43" t="str">
        <f t="shared" ref="U9:X9" si="0">+H14</f>
        <v>PANSI ORGANIZATIVOS</v>
      </c>
      <c r="V9" s="43" t="str">
        <f t="shared" si="0"/>
        <v>PANSI ADMINISTRATIVO</v>
      </c>
      <c r="W9" s="43" t="str">
        <f t="shared" si="0"/>
        <v>PANSI TÉCNICAS</v>
      </c>
      <c r="X9" s="43" t="str">
        <f t="shared" si="0"/>
        <v>PANSI FÍSICAS</v>
      </c>
    </row>
    <row r="10" spans="1:24" s="3" customFormat="1" ht="57.4" customHeight="1" thickBot="1" x14ac:dyDescent="0.25">
      <c r="A10" s="2"/>
      <c r="B10" s="117"/>
      <c r="C10" s="105"/>
      <c r="D10" s="121"/>
      <c r="E10" s="18"/>
      <c r="F10" s="23" t="s">
        <v>21</v>
      </c>
      <c r="G10" s="7" t="s">
        <v>22</v>
      </c>
      <c r="H10" s="8" t="s">
        <v>8</v>
      </c>
      <c r="I10" s="8" t="s">
        <v>9</v>
      </c>
      <c r="J10" s="8" t="s">
        <v>10</v>
      </c>
      <c r="K10" s="12" t="s">
        <v>11</v>
      </c>
      <c r="P10" s="3" t="s">
        <v>67</v>
      </c>
    </row>
    <row r="11" spans="1:24" s="3" customFormat="1" ht="106.9" customHeight="1" thickBot="1" x14ac:dyDescent="0.25">
      <c r="A11" s="2"/>
      <c r="B11" s="117"/>
      <c r="C11" s="105"/>
      <c r="D11" s="121"/>
      <c r="E11" s="18"/>
      <c r="F11" s="78"/>
      <c r="G11" s="79" t="s">
        <v>121</v>
      </c>
      <c r="H11" s="80" t="s">
        <v>127</v>
      </c>
      <c r="I11" s="81"/>
      <c r="J11" s="81"/>
      <c r="K11" s="82"/>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117"/>
      <c r="C12" s="105"/>
      <c r="D12" s="121"/>
      <c r="E12" s="18"/>
      <c r="F12" s="24"/>
      <c r="G12" s="100" t="s">
        <v>0</v>
      </c>
      <c r="H12" s="101"/>
      <c r="I12" s="101"/>
      <c r="J12" s="101"/>
      <c r="K12" s="102"/>
      <c r="N12" s="34" t="s">
        <v>61</v>
      </c>
      <c r="O12" s="34" t="s">
        <v>29</v>
      </c>
      <c r="P12" s="34" t="s">
        <v>35</v>
      </c>
      <c r="Q12" s="34" t="s">
        <v>38</v>
      </c>
      <c r="R12" s="34" t="s">
        <v>40</v>
      </c>
      <c r="S12" s="34" t="s">
        <v>45</v>
      </c>
      <c r="T12" s="34" t="s">
        <v>47</v>
      </c>
      <c r="U12" s="49">
        <f>VLOOKUP(O12,'CRITERIOS MTGE'!$B$7:$C$10,2,FALSE)+VLOOKUP(P12,'CRITERIOS MTGE'!$E$7:$F$10,2,FALSE)+VLOOKUP(Q12,'CRITERIOS MTGE'!$H$7:$I$9,2,FALSE)+VLOOKUP(R12,'CRITERIOS MTGE'!$K$7:$L$9,2,FALSE)+VLOOKUP(S12,'CRITERIOS MTGE'!$N$7:$O$9,2,FALSE)+VLOOKUP(T12,'CRITERIOS MTGE'!$Q$7:$R$9,2,FALSE)</f>
        <v>12.5</v>
      </c>
      <c r="V12" s="35" t="str">
        <f>IF($U$12&gt;=6,"OBLIGADO","NO OBLIGADO")</f>
        <v>OBLIGADO</v>
      </c>
      <c r="W12" s="35" t="str">
        <f t="shared" ref="W12:X12" si="1">IF($U$12&gt;=6,"OBLIGADO","NO OBLIGADO")</f>
        <v>OBLIGADO</v>
      </c>
      <c r="X12" s="35" t="str">
        <f t="shared" si="1"/>
        <v>OBLIGADO</v>
      </c>
    </row>
    <row r="13" spans="1:24" s="3" customFormat="1" ht="57.4" customHeight="1" thickBot="1" x14ac:dyDescent="0.25">
      <c r="A13" s="2"/>
      <c r="B13" s="117"/>
      <c r="C13" s="105"/>
      <c r="D13" s="121"/>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3">
      <c r="A14" s="2"/>
      <c r="B14" s="118"/>
      <c r="C14" s="106"/>
      <c r="D14" s="122"/>
      <c r="E14" s="18"/>
      <c r="F14" s="83" t="s">
        <v>103</v>
      </c>
      <c r="G14" s="83" t="s">
        <v>62</v>
      </c>
      <c r="H14" s="83" t="s">
        <v>63</v>
      </c>
      <c r="I14" s="83" t="s">
        <v>64</v>
      </c>
      <c r="J14" s="83" t="s">
        <v>65</v>
      </c>
      <c r="K14" s="84" t="s">
        <v>66</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6">
    <mergeCell ref="O7:P7"/>
    <mergeCell ref="T7:X7"/>
    <mergeCell ref="B9:B14"/>
    <mergeCell ref="C9:C14"/>
    <mergeCell ref="D9:D14"/>
    <mergeCell ref="G12:K12"/>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3">
        <x14:dataValidation type="list" allowBlank="1" showInputMessage="1" showErrorMessage="1" xr:uid="{7ACCE0DB-5121-4DEC-AA6B-C7A1E45E2055}">
          <x14:formula1>
            <xm:f>'CRITERIOS MTGE'!$B$7:$B$10</xm:f>
          </x14:formula1>
          <xm:sqref>O12</xm:sqref>
        </x14:dataValidation>
        <x14:dataValidation type="list" allowBlank="1" showInputMessage="1" showErrorMessage="1" xr:uid="{D892869A-7021-4C53-8543-9FA6CA571EC5}">
          <x14:formula1>
            <xm:f>'CRITERIOS MTGE'!$Q$7:$Q$9</xm:f>
          </x14:formula1>
          <xm:sqref>T12</xm:sqref>
        </x14:dataValidation>
        <x14:dataValidation type="list" allowBlank="1" showInputMessage="1" showErrorMessage="1" xr:uid="{5C5BE85D-C914-48E5-B200-54FA2E42F5D3}">
          <x14:formula1>
            <xm:f>'CRITERIOS MTGE'!$N$7:$N$9</xm:f>
          </x14:formula1>
          <xm:sqref>S12 S9</xm:sqref>
        </x14:dataValidation>
        <x14:dataValidation type="list" allowBlank="1" showInputMessage="1" showErrorMessage="1" xr:uid="{F67F7103-828C-4DC6-9DED-221E7726513E}">
          <x14:formula1>
            <xm:f>'CRITERIOS MTGE'!$K$7:$K$9</xm:f>
          </x14:formula1>
          <xm:sqref>R12 R9</xm:sqref>
        </x14:dataValidation>
        <x14:dataValidation type="list" allowBlank="1" showInputMessage="1" showErrorMessage="1" xr:uid="{6A6B004C-1AB9-4D17-A3D6-3674A0337B70}">
          <x14:formula1>
            <xm:f>'CRITERIOS MTGE'!$H$7:$H$9</xm:f>
          </x14:formula1>
          <xm:sqref>Q12</xm:sqref>
        </x14:dataValidation>
        <x14:dataValidation type="list" allowBlank="1" showInputMessage="1" showErrorMessage="1" xr:uid="{C8E8208A-CFCF-4F1B-8770-9A895DA4F992}">
          <x14:formula1>
            <xm:f>'CRITERIOS MTGE'!$E$7:$E$10</xm:f>
          </x14:formula1>
          <xm:sqref>P12</xm:sqref>
        </x14:dataValidation>
        <x14:dataValidation type="list" allowBlank="1" showInputMessage="1" showErrorMessage="1" xr:uid="{002F592C-02FB-4587-8E17-4CE68AA15815}">
          <x14:formula1>
            <xm:f>'CRITERIOS MTGE'!$B$14:$B$22</xm:f>
          </x14:formula1>
          <xm:sqref>N12</xm:sqref>
        </x14:dataValidation>
        <x14:dataValidation type="list" allowBlank="1" showInputMessage="1" showErrorMessage="1" xr:uid="{C69EECF7-6FEE-4CAA-A6CF-A870E8ED9977}">
          <x14:formula1>
            <xm:f>'CRITERIOS MTGE'!$E$14:$E$17</xm:f>
          </x14:formula1>
          <xm:sqref>G11</xm:sqref>
        </x14:dataValidation>
        <x14:dataValidation type="list" allowBlank="1" showInputMessage="1" showErrorMessage="1" xr:uid="{8CB8BD45-2AE4-4404-97AF-0D74958E0099}">
          <x14:formula1>
            <xm:f>'CRITERIOS MTGE'!$H$14:$H$19</xm:f>
          </x14:formula1>
          <xm:sqref>F11</xm:sqref>
        </x14:dataValidation>
        <x14:dataValidation type="list" allowBlank="1" showInputMessage="1" showErrorMessage="1" xr:uid="{6CBBFFDA-BB8A-4248-958A-F007684432DC}">
          <x14:formula1>
            <xm:f>'CRITERIOS MTGE'!$K$14:$K$15</xm:f>
          </x14:formula1>
          <xm:sqref>H11 F14</xm:sqref>
        </x14:dataValidation>
        <x14:dataValidation type="list" allowBlank="1" showInputMessage="1" showErrorMessage="1" xr:uid="{EBB52D93-934A-40A5-B846-2F92F7B89835}">
          <x14:formula1>
            <xm:f>'CRITERIOS MTGE'!$N$14:$N$16</xm:f>
          </x14:formula1>
          <xm:sqref>I11</xm:sqref>
        </x14:dataValidation>
        <x14:dataValidation type="list" allowBlank="1" showInputMessage="1" showErrorMessage="1" xr:uid="{B936A8D9-D7C7-4C3C-98E5-9E0871AF558C}">
          <x14:formula1>
            <xm:f>'CRITERIOS MTGE'!$Q$14:$Q$21</xm:f>
          </x14:formula1>
          <xm:sqref>J11</xm:sqref>
        </x14:dataValidation>
        <x14:dataValidation type="list" allowBlank="1" showInputMessage="1" showErrorMessage="1" xr:uid="{BFBDE1E1-8EA4-428E-91FB-F677952BF4A0}">
          <x14:formula1>
            <xm:f>'CRITERIOS MTGE'!$T$14:$T$16</xm:f>
          </x14:formula1>
          <xm:sqref>K11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6:X64"/>
  <sheetViews>
    <sheetView topLeftCell="K7" workbookViewId="0">
      <selection activeCell="R9" sqref="R9"/>
    </sheetView>
  </sheetViews>
  <sheetFormatPr defaultColWidth="9.14453125" defaultRowHeight="15" x14ac:dyDescent="0.2"/>
  <cols>
    <col min="1" max="2" width="18.6953125" style="1" customWidth="1"/>
    <col min="3" max="3" width="23.40625" style="5" customWidth="1"/>
    <col min="4" max="4" width="25.421875" style="2" customWidth="1"/>
    <col min="5" max="5" width="1.61328125" style="1" customWidth="1"/>
    <col min="6" max="6" width="25.69140625" style="1" customWidth="1"/>
    <col min="7" max="7" width="28.65234375" style="1" customWidth="1"/>
    <col min="8" max="8" width="28.3828125" style="1" customWidth="1"/>
    <col min="9" max="9" width="30.40234375" style="1" customWidth="1"/>
    <col min="10" max="11" width="28.3828125" customWidth="1"/>
    <col min="12" max="12" width="3.09375" customWidth="1"/>
    <col min="13" max="13" width="5.6484375" style="1" customWidth="1"/>
    <col min="14" max="16" width="23.40625" style="1" customWidth="1"/>
    <col min="17" max="17" width="25.69140625" style="1" customWidth="1"/>
    <col min="18" max="18" width="23.40625" style="1" customWidth="1"/>
    <col min="19" max="19" width="18.6953125" style="1" customWidth="1"/>
    <col min="20" max="20" width="17.484375" style="1" customWidth="1"/>
    <col min="21" max="21" width="20.3125" style="1" customWidth="1"/>
    <col min="22" max="24" width="17.484375" style="1" customWidth="1"/>
    <col min="25" max="16384" width="9.14453125" style="1"/>
  </cols>
  <sheetData>
    <row r="6" spans="1:24" x14ac:dyDescent="0.2">
      <c r="F6" s="40"/>
      <c r="R6" s="39"/>
      <c r="S6" s="39"/>
    </row>
    <row r="7" spans="1:24" ht="39" customHeight="1" thickBot="1" x14ac:dyDescent="0.25">
      <c r="O7" s="103" t="s">
        <v>81</v>
      </c>
      <c r="P7" s="103"/>
      <c r="T7" s="93" t="s">
        <v>85</v>
      </c>
      <c r="U7" s="93"/>
      <c r="V7" s="93"/>
      <c r="W7" s="93"/>
      <c r="X7" s="93"/>
    </row>
    <row r="8" spans="1:24" ht="60" customHeight="1" thickBot="1" x14ac:dyDescent="0.25">
      <c r="B8" s="14" t="s">
        <v>1</v>
      </c>
      <c r="C8" s="15" t="s">
        <v>18</v>
      </c>
      <c r="D8" s="17" t="s">
        <v>19</v>
      </c>
      <c r="E8" s="22"/>
      <c r="F8" s="20" t="s">
        <v>2</v>
      </c>
      <c r="G8" s="21" t="s">
        <v>3</v>
      </c>
      <c r="H8" s="10" t="s">
        <v>4</v>
      </c>
      <c r="I8" s="10" t="s">
        <v>5</v>
      </c>
      <c r="J8" s="10" t="s">
        <v>6</v>
      </c>
      <c r="K8" s="11" t="s">
        <v>7</v>
      </c>
      <c r="N8" s="32" t="s">
        <v>68</v>
      </c>
      <c r="O8" s="32" t="s">
        <v>69</v>
      </c>
      <c r="P8" s="32" t="s">
        <v>70</v>
      </c>
      <c r="Q8" s="32" t="s">
        <v>82</v>
      </c>
      <c r="R8" s="32" t="s">
        <v>83</v>
      </c>
      <c r="S8" s="32" t="s">
        <v>84</v>
      </c>
      <c r="T8" s="16" t="s">
        <v>86</v>
      </c>
      <c r="U8" s="9" t="s">
        <v>87</v>
      </c>
      <c r="V8" s="9" t="s">
        <v>88</v>
      </c>
      <c r="W8" s="9" t="s">
        <v>89</v>
      </c>
      <c r="X8" s="13" t="s">
        <v>90</v>
      </c>
    </row>
    <row r="9" spans="1:24" s="2" customFormat="1" ht="99.4" customHeight="1" thickBot="1" x14ac:dyDescent="0.4">
      <c r="B9" s="94" t="s">
        <v>116</v>
      </c>
      <c r="C9" s="123" t="s">
        <v>104</v>
      </c>
      <c r="D9" s="125" t="s">
        <v>117</v>
      </c>
      <c r="E9" s="18"/>
      <c r="F9" s="50" t="s">
        <v>100</v>
      </c>
      <c r="G9" s="51" t="s">
        <v>101</v>
      </c>
      <c r="H9" s="52" t="s">
        <v>102</v>
      </c>
      <c r="I9" s="51" t="s">
        <v>101</v>
      </c>
      <c r="J9" s="53" t="s">
        <v>106</v>
      </c>
      <c r="K9" s="54" t="s">
        <v>107</v>
      </c>
      <c r="M9" s="6"/>
      <c r="N9" s="65" t="s">
        <v>114</v>
      </c>
      <c r="O9" s="66" t="str">
        <f>+G11</f>
        <v>BASICOS DE IDENTIFICACIÓN</v>
      </c>
      <c r="P9" s="66" t="s">
        <v>115</v>
      </c>
      <c r="Q9" s="67" t="str">
        <f>+F11</f>
        <v>Titular externo</v>
      </c>
      <c r="R9" s="68" t="s">
        <v>40</v>
      </c>
      <c r="S9" s="68" t="s">
        <v>43</v>
      </c>
      <c r="T9" s="69" t="str">
        <f>+G14</f>
        <v>PANSI</v>
      </c>
      <c r="U9" s="69" t="str">
        <f t="shared" ref="U9:X9" si="0">+H14</f>
        <v>PANSI</v>
      </c>
      <c r="V9" s="69" t="str">
        <f t="shared" si="0"/>
        <v>PANSI</v>
      </c>
      <c r="W9" s="69" t="str">
        <f t="shared" si="0"/>
        <v>PANSI</v>
      </c>
      <c r="X9" s="43" t="str">
        <f t="shared" si="0"/>
        <v>PANSI</v>
      </c>
    </row>
    <row r="10" spans="1:24" s="3" customFormat="1" ht="57.4" customHeight="1" thickBot="1" x14ac:dyDescent="0.25">
      <c r="A10" s="2"/>
      <c r="B10" s="95"/>
      <c r="C10" s="124"/>
      <c r="D10" s="126"/>
      <c r="E10" s="18"/>
      <c r="F10" s="23" t="s">
        <v>21</v>
      </c>
      <c r="G10" s="7" t="s">
        <v>22</v>
      </c>
      <c r="H10" s="8" t="s">
        <v>8</v>
      </c>
      <c r="I10" s="8" t="s">
        <v>9</v>
      </c>
      <c r="J10" s="8" t="s">
        <v>10</v>
      </c>
      <c r="K10" s="12" t="s">
        <v>11</v>
      </c>
    </row>
    <row r="11" spans="1:24" s="3" customFormat="1" ht="106.9" customHeight="1" thickBot="1" x14ac:dyDescent="0.4">
      <c r="A11" s="2"/>
      <c r="B11" s="95"/>
      <c r="C11" s="124"/>
      <c r="D11" s="126"/>
      <c r="E11" s="18"/>
      <c r="F11" s="55" t="s">
        <v>118</v>
      </c>
      <c r="G11" s="56" t="s">
        <v>108</v>
      </c>
      <c r="H11" s="57" t="s">
        <v>109</v>
      </c>
      <c r="I11" s="58" t="s">
        <v>110</v>
      </c>
      <c r="J11" s="59" t="s">
        <v>111</v>
      </c>
      <c r="K11" s="60" t="s">
        <v>112</v>
      </c>
      <c r="N11" s="33" t="s">
        <v>98</v>
      </c>
      <c r="O11" s="33" t="s">
        <v>91</v>
      </c>
      <c r="P11" s="33" t="s">
        <v>92</v>
      </c>
      <c r="Q11" s="33" t="s">
        <v>93</v>
      </c>
      <c r="R11" s="33" t="s">
        <v>94</v>
      </c>
      <c r="S11" s="33" t="s">
        <v>95</v>
      </c>
      <c r="T11" s="33" t="s">
        <v>96</v>
      </c>
      <c r="U11" s="48" t="s">
        <v>97</v>
      </c>
      <c r="V11" s="33" t="s">
        <v>78</v>
      </c>
      <c r="W11" s="33" t="s">
        <v>79</v>
      </c>
      <c r="X11" s="33" t="s">
        <v>80</v>
      </c>
    </row>
    <row r="12" spans="1:24" s="3" customFormat="1" ht="57.4" customHeight="1" thickBot="1" x14ac:dyDescent="0.25">
      <c r="A12" s="2"/>
      <c r="B12" s="95"/>
      <c r="C12" s="124" t="s">
        <v>105</v>
      </c>
      <c r="D12" s="126"/>
      <c r="E12" s="18"/>
      <c r="F12" s="70"/>
      <c r="G12" s="100" t="s">
        <v>0</v>
      </c>
      <c r="H12" s="101"/>
      <c r="I12" s="101"/>
      <c r="J12" s="101"/>
      <c r="K12" s="102"/>
      <c r="N12" s="34" t="s">
        <v>61</v>
      </c>
      <c r="O12" s="34" t="s">
        <v>51</v>
      </c>
      <c r="P12" s="34" t="s">
        <v>32</v>
      </c>
      <c r="Q12" s="34" t="s">
        <v>37</v>
      </c>
      <c r="R12" s="34" t="s">
        <v>40</v>
      </c>
      <c r="S12" s="34" t="s">
        <v>43</v>
      </c>
      <c r="T12" s="34" t="s">
        <v>47</v>
      </c>
      <c r="U12" s="49">
        <f>VLOOKUP(O12,'CRITERIOS MTGE'!$B$7:$C$10,2,FALSE)+VLOOKUP(P12,'CRITERIOS MTGE'!$E$7:$F$10,2,FALSE)+VLOOKUP(Q12,'CRITERIOS MTGE'!$H$7:$I$9,2,FALSE)+VLOOKUP(R12,'CRITERIOS MTGE'!$K$7:$L$9,2,FALSE)+VLOOKUP(S12,'CRITERIOS MTGE'!$N$7:$O$9,2,FALSE)+VLOOKUP(T12,'CRITERIOS MTGE'!$Q$7:$R$9,2,FALSE)</f>
        <v>5</v>
      </c>
      <c r="V12" s="35" t="str">
        <f>IF($U$12&gt;=6,"OBLIGADO","NO OBLIGADO")</f>
        <v>NO OBLIGADO</v>
      </c>
      <c r="W12" s="35" t="str">
        <f t="shared" ref="W12:X12" si="1">IF($U$12&gt;=6,"OBLIGADO","NO OBLIGADO")</f>
        <v>NO OBLIGADO</v>
      </c>
      <c r="X12" s="35" t="str">
        <f t="shared" si="1"/>
        <v>NO OBLIGADO</v>
      </c>
    </row>
    <row r="13" spans="1:24" s="3" customFormat="1" ht="57.4" customHeight="1" thickBot="1" x14ac:dyDescent="0.25">
      <c r="A13" s="2"/>
      <c r="B13" s="95"/>
      <c r="C13" s="124"/>
      <c r="D13" s="126"/>
      <c r="E13" s="18"/>
      <c r="F13" s="19" t="s">
        <v>99</v>
      </c>
      <c r="G13" s="16" t="s">
        <v>12</v>
      </c>
      <c r="H13" s="9" t="s">
        <v>13</v>
      </c>
      <c r="I13" s="9" t="s">
        <v>14</v>
      </c>
      <c r="J13" s="9" t="s">
        <v>15</v>
      </c>
      <c r="K13" s="13" t="s">
        <v>16</v>
      </c>
      <c r="O13" s="5"/>
      <c r="P13" s="5"/>
      <c r="Q13" s="5"/>
      <c r="R13" s="5"/>
      <c r="S13" s="5"/>
      <c r="T13" s="5"/>
      <c r="U13" s="44"/>
      <c r="V13" s="44"/>
    </row>
    <row r="14" spans="1:24" s="3" customFormat="1" ht="111" customHeight="1" thickBot="1" x14ac:dyDescent="0.25">
      <c r="A14" s="2"/>
      <c r="B14" s="96"/>
      <c r="C14" s="128"/>
      <c r="D14" s="127"/>
      <c r="E14" s="18"/>
      <c r="F14" s="61" t="s">
        <v>103</v>
      </c>
      <c r="G14" s="62" t="s">
        <v>113</v>
      </c>
      <c r="H14" s="62" t="s">
        <v>113</v>
      </c>
      <c r="I14" s="62" t="s">
        <v>113</v>
      </c>
      <c r="J14" s="62" t="s">
        <v>113</v>
      </c>
      <c r="K14" s="63" t="s">
        <v>113</v>
      </c>
      <c r="N14" s="64"/>
      <c r="O14" s="64"/>
      <c r="P14" s="64"/>
    </row>
    <row r="15" spans="1:24" s="3" customFormat="1" ht="57.4" customHeight="1" x14ac:dyDescent="0.2">
      <c r="C15" s="5"/>
      <c r="D15" s="2"/>
      <c r="N15" s="6"/>
      <c r="O15" s="2"/>
      <c r="P15" s="2"/>
    </row>
    <row r="16" spans="1:24" s="3" customFormat="1" ht="57.4" customHeight="1" x14ac:dyDescent="0.2">
      <c r="C16" s="5"/>
      <c r="D16" s="2"/>
    </row>
    <row r="17" spans="3:4" s="3" customFormat="1" ht="57.4" customHeight="1" x14ac:dyDescent="0.2">
      <c r="C17" s="5"/>
      <c r="D17" s="2"/>
    </row>
    <row r="18" spans="3:4" s="3" customFormat="1" ht="57.4" customHeight="1" x14ac:dyDescent="0.2">
      <c r="C18" s="5"/>
      <c r="D18" s="2"/>
    </row>
    <row r="19" spans="3:4" s="3" customFormat="1" ht="57.4" customHeight="1" x14ac:dyDescent="0.2">
      <c r="C19" s="5"/>
      <c r="D19" s="2"/>
    </row>
    <row r="20" spans="3:4" s="3" customFormat="1" x14ac:dyDescent="0.2">
      <c r="C20" s="5"/>
      <c r="D20" s="2"/>
    </row>
    <row r="21" spans="3:4" s="3" customFormat="1" x14ac:dyDescent="0.2">
      <c r="C21" s="5"/>
      <c r="D21" s="2"/>
    </row>
    <row r="22" spans="3:4" s="3" customFormat="1" x14ac:dyDescent="0.2">
      <c r="C22" s="5"/>
      <c r="D22" s="2" t="s">
        <v>17</v>
      </c>
    </row>
    <row r="23" spans="3:4" s="3" customFormat="1" x14ac:dyDescent="0.2">
      <c r="C23" s="5"/>
      <c r="D23" s="2"/>
    </row>
    <row r="24" spans="3:4" s="3" customFormat="1" x14ac:dyDescent="0.2">
      <c r="C24" s="5"/>
      <c r="D24" s="2"/>
    </row>
    <row r="25" spans="3:4" s="3" customFormat="1" x14ac:dyDescent="0.2">
      <c r="C25" s="5"/>
      <c r="D25" s="2"/>
    </row>
    <row r="26" spans="3:4" s="3" customFormat="1" x14ac:dyDescent="0.2">
      <c r="C26" s="5"/>
      <c r="D26" s="2"/>
    </row>
    <row r="27" spans="3:4" s="3" customFormat="1" x14ac:dyDescent="0.2">
      <c r="C27" s="5"/>
      <c r="D27" s="2"/>
    </row>
    <row r="28" spans="3:4" s="3" customFormat="1" x14ac:dyDescent="0.2">
      <c r="C28" s="5"/>
      <c r="D28" s="2"/>
    </row>
    <row r="29" spans="3:4" s="3" customFormat="1" x14ac:dyDescent="0.2">
      <c r="C29" s="5"/>
      <c r="D29" s="2"/>
    </row>
    <row r="30" spans="3:4" s="4" customFormat="1" x14ac:dyDescent="0.2">
      <c r="C30" s="5"/>
      <c r="D30" s="2"/>
    </row>
    <row r="31" spans="3:4" s="4" customFormat="1" x14ac:dyDescent="0.2">
      <c r="C31" s="5"/>
      <c r="D31" s="2"/>
    </row>
    <row r="32" spans="3:4" s="4" customFormat="1" x14ac:dyDescent="0.2">
      <c r="C32" s="5"/>
      <c r="D32" s="2"/>
    </row>
    <row r="33" spans="3:12" s="4" customFormat="1" x14ac:dyDescent="0.2">
      <c r="C33" s="5"/>
      <c r="D33" s="2"/>
    </row>
    <row r="34" spans="3:12" s="4" customFormat="1" x14ac:dyDescent="0.2">
      <c r="C34" s="5"/>
      <c r="D34" s="2"/>
    </row>
    <row r="35" spans="3:12" s="4" customFormat="1" x14ac:dyDescent="0.2">
      <c r="C35" s="5"/>
      <c r="D35" s="2"/>
    </row>
    <row r="36" spans="3:12" s="4" customFormat="1" x14ac:dyDescent="0.2">
      <c r="C36" s="5"/>
      <c r="D36" s="2"/>
    </row>
    <row r="37" spans="3:12" s="4" customFormat="1" x14ac:dyDescent="0.2">
      <c r="C37" s="5"/>
      <c r="D37" s="2"/>
    </row>
    <row r="38" spans="3:12" s="4" customFormat="1" x14ac:dyDescent="0.2">
      <c r="C38" s="5"/>
      <c r="D38" s="2"/>
    </row>
    <row r="39" spans="3:12" x14ac:dyDescent="0.2">
      <c r="J39" s="1"/>
      <c r="K39" s="1"/>
      <c r="L39" s="1"/>
    </row>
    <row r="40" spans="3:12" x14ac:dyDescent="0.2">
      <c r="J40" s="1"/>
      <c r="K40" s="1"/>
      <c r="L40" s="1"/>
    </row>
    <row r="41" spans="3:12" x14ac:dyDescent="0.2">
      <c r="J41" s="1"/>
      <c r="K41" s="1"/>
      <c r="L41" s="1"/>
    </row>
    <row r="42" spans="3:12" x14ac:dyDescent="0.2">
      <c r="J42" s="1"/>
      <c r="K42" s="1"/>
      <c r="L42" s="1"/>
    </row>
    <row r="43" spans="3:12" x14ac:dyDescent="0.2">
      <c r="J43" s="1"/>
      <c r="K43" s="1"/>
      <c r="L43" s="1"/>
    </row>
    <row r="44" spans="3:12" x14ac:dyDescent="0.2">
      <c r="J44" s="1"/>
      <c r="K44" s="1"/>
      <c r="L44" s="1"/>
    </row>
    <row r="45" spans="3:12" x14ac:dyDescent="0.2">
      <c r="J45" s="1"/>
      <c r="K45" s="1"/>
      <c r="L45" s="1"/>
    </row>
    <row r="46" spans="3:12" x14ac:dyDescent="0.2">
      <c r="J46" s="1"/>
      <c r="K46" s="1"/>
      <c r="L46" s="1"/>
    </row>
    <row r="47" spans="3:12" x14ac:dyDescent="0.2">
      <c r="J47" s="1"/>
      <c r="K47" s="1"/>
      <c r="L47" s="1"/>
    </row>
    <row r="48" spans="3:12" x14ac:dyDescent="0.2">
      <c r="J48" s="1"/>
      <c r="K48" s="1"/>
      <c r="L48" s="1"/>
    </row>
    <row r="49" spans="10:12" x14ac:dyDescent="0.2">
      <c r="J49" s="1"/>
      <c r="K49" s="1"/>
      <c r="L49" s="1"/>
    </row>
    <row r="50" spans="10:12" x14ac:dyDescent="0.2">
      <c r="J50" s="1"/>
      <c r="K50" s="1"/>
      <c r="L50" s="1"/>
    </row>
    <row r="51" spans="10:12" x14ac:dyDescent="0.2">
      <c r="J51" s="1"/>
      <c r="K51" s="1"/>
      <c r="L51" s="1"/>
    </row>
    <row r="52" spans="10:12" x14ac:dyDescent="0.2">
      <c r="J52" s="1"/>
      <c r="K52" s="1"/>
      <c r="L52" s="1"/>
    </row>
    <row r="53" spans="10:12" x14ac:dyDescent="0.2">
      <c r="J53" s="1"/>
      <c r="K53" s="1"/>
      <c r="L53" s="1"/>
    </row>
    <row r="54" spans="10:12" x14ac:dyDescent="0.2">
      <c r="J54" s="1"/>
      <c r="K54" s="1"/>
      <c r="L54" s="1"/>
    </row>
    <row r="55" spans="10:12" x14ac:dyDescent="0.2">
      <c r="J55" s="1"/>
      <c r="K55" s="1"/>
      <c r="L55" s="1"/>
    </row>
    <row r="56" spans="10:12" x14ac:dyDescent="0.2">
      <c r="J56" s="1"/>
      <c r="K56" s="1"/>
      <c r="L56" s="1"/>
    </row>
    <row r="57" spans="10:12" x14ac:dyDescent="0.2">
      <c r="J57" s="1"/>
      <c r="K57" s="1"/>
      <c r="L57" s="1"/>
    </row>
    <row r="58" spans="10:12" x14ac:dyDescent="0.2">
      <c r="J58" s="1"/>
      <c r="K58" s="1"/>
      <c r="L58" s="1"/>
    </row>
    <row r="59" spans="10:12" x14ac:dyDescent="0.2">
      <c r="J59" s="1"/>
      <c r="K59" s="1"/>
      <c r="L59" s="1"/>
    </row>
    <row r="60" spans="10:12" x14ac:dyDescent="0.2">
      <c r="J60" s="1"/>
      <c r="K60" s="1"/>
      <c r="L60" s="1"/>
    </row>
    <row r="61" spans="10:12" x14ac:dyDescent="0.2">
      <c r="J61" s="1"/>
      <c r="K61" s="1"/>
      <c r="L61" s="1"/>
    </row>
    <row r="62" spans="10:12" x14ac:dyDescent="0.2">
      <c r="J62" s="1"/>
      <c r="K62" s="1"/>
      <c r="L62" s="1"/>
    </row>
    <row r="63" spans="10:12" x14ac:dyDescent="0.2">
      <c r="J63" s="1"/>
      <c r="K63" s="1"/>
      <c r="L63" s="1"/>
    </row>
    <row r="64" spans="10:12" x14ac:dyDescent="0.2">
      <c r="J64" s="1"/>
      <c r="K64" s="1"/>
      <c r="L64" s="1"/>
    </row>
  </sheetData>
  <mergeCells count="7">
    <mergeCell ref="O7:P7"/>
    <mergeCell ref="T7:X7"/>
    <mergeCell ref="B9:B14"/>
    <mergeCell ref="C9:C11"/>
    <mergeCell ref="D9:D14"/>
    <mergeCell ref="C12:C14"/>
    <mergeCell ref="G12:K12"/>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700-000000000000}">
          <x14:formula1>
            <xm:f>'CRITERIOS MTGE'!$B$7:$B$10</xm:f>
          </x14:formula1>
          <xm:sqref>O12</xm:sqref>
        </x14:dataValidation>
        <x14:dataValidation type="list" allowBlank="1" showInputMessage="1" showErrorMessage="1" xr:uid="{00000000-0002-0000-0700-000001000000}">
          <x14:formula1>
            <xm:f>'CRITERIOS MTGE'!$Q$7:$Q$9</xm:f>
          </x14:formula1>
          <xm:sqref>T12</xm:sqref>
        </x14:dataValidation>
        <x14:dataValidation type="list" allowBlank="1" showInputMessage="1" showErrorMessage="1" xr:uid="{00000000-0002-0000-0700-000002000000}">
          <x14:formula1>
            <xm:f>'CRITERIOS MTGE'!$N$7:$N$9</xm:f>
          </x14:formula1>
          <xm:sqref>S12 S9</xm:sqref>
        </x14:dataValidation>
        <x14:dataValidation type="list" allowBlank="1" showInputMessage="1" showErrorMessage="1" xr:uid="{00000000-0002-0000-0700-000003000000}">
          <x14:formula1>
            <xm:f>'CRITERIOS MTGE'!$K$7:$K$9</xm:f>
          </x14:formula1>
          <xm:sqref>R12 R9</xm:sqref>
        </x14:dataValidation>
        <x14:dataValidation type="list" allowBlank="1" showInputMessage="1" showErrorMessage="1" xr:uid="{00000000-0002-0000-0700-000004000000}">
          <x14:formula1>
            <xm:f>'CRITERIOS MTGE'!$H$7:$H$9</xm:f>
          </x14:formula1>
          <xm:sqref>Q12</xm:sqref>
        </x14:dataValidation>
        <x14:dataValidation type="list" allowBlank="1" showInputMessage="1" showErrorMessage="1" xr:uid="{00000000-0002-0000-0700-000005000000}">
          <x14:formula1>
            <xm:f>'CRITERIOS MTGE'!$E$7:$E$10</xm:f>
          </x14:formula1>
          <xm:sqref>P12</xm:sqref>
        </x14:dataValidation>
        <x14:dataValidation type="list" allowBlank="1" showInputMessage="1" showErrorMessage="1" xr:uid="{00000000-0002-0000-0700-000006000000}">
          <x14:formula1>
            <xm:f>'CRITERIOS MTGE'!$B$14:$B$22</xm:f>
          </x14:formula1>
          <xm:sqref>N12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9072A6A8D4DBA41ADE7279E83CF091C" ma:contentTypeVersion="11" ma:contentTypeDescription="Crear nuevo documento." ma:contentTypeScope="" ma:versionID="2b5c527a65be84bb62086f578130eee8">
  <xsd:schema xmlns:xsd="http://www.w3.org/2001/XMLSchema" xmlns:xs="http://www.w3.org/2001/XMLSchema" xmlns:p="http://schemas.microsoft.com/office/2006/metadata/properties" xmlns:ns2="4909147e-aa9e-4f8a-9f20-39a02f120b42" xmlns:ns3="bbafc549-c137-4a88-8495-c0676c4b27d9" targetNamespace="http://schemas.microsoft.com/office/2006/metadata/properties" ma:root="true" ma:fieldsID="cda698c08b2b1f3b6d9d8b540a8021ba" ns2:_="" ns3:_="">
    <xsd:import namespace="4909147e-aa9e-4f8a-9f20-39a02f120b42"/>
    <xsd:import namespace="bbafc549-c137-4a88-8495-c0676c4b27d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09147e-aa9e-4f8a-9f20-39a02f120b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4e5348a6-8c15-49fe-b803-984a056c5e3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fc549-c137-4a88-8495-c0676c4b27d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07c8312-f7de-43a7-b6dc-0857f1b1ed8f}" ma:internalName="TaxCatchAll" ma:showField="CatchAllData" ma:web="bbafc549-c137-4a88-8495-c0676c4b27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09147e-aa9e-4f8a-9f20-39a02f120b42">
      <Terms xmlns="http://schemas.microsoft.com/office/infopath/2007/PartnerControls"/>
    </lcf76f155ced4ddcb4097134ff3c332f>
    <TaxCatchAll xmlns="bbafc549-c137-4a88-8495-c0676c4b27d9" xsi:nil="true"/>
  </documentManagement>
</p:properties>
</file>

<file path=customXml/itemProps1.xml><?xml version="1.0" encoding="utf-8"?>
<ds:datastoreItem xmlns:ds="http://schemas.openxmlformats.org/officeDocument/2006/customXml" ds:itemID="{F717A87B-93C4-461D-A9BC-9EE610A6CE12}">
  <ds:schemaRefs>
    <ds:schemaRef ds:uri="http://schemas.microsoft.com/office/2006/metadata/contentType"/>
    <ds:schemaRef ds:uri="http://schemas.microsoft.com/office/2006/metadata/properties/metaAttributes"/>
    <ds:schemaRef ds:uri="http://www.w3.org/2000/xmlns/"/>
    <ds:schemaRef ds:uri="http://www.w3.org/2001/XMLSchema"/>
    <ds:schemaRef ds:uri="4909147e-aa9e-4f8a-9f20-39a02f120b42"/>
    <ds:schemaRef ds:uri="bbafc549-c137-4a88-8495-c0676c4b27d9"/>
  </ds:schemaRefs>
</ds:datastoreItem>
</file>

<file path=customXml/itemProps2.xml><?xml version="1.0" encoding="utf-8"?>
<ds:datastoreItem xmlns:ds="http://schemas.openxmlformats.org/officeDocument/2006/customXml" ds:itemID="{5B8263B3-F295-4D31-A87F-1B0DFA18821D}">
  <ds:schemaRefs>
    <ds:schemaRef ds:uri="http://schemas.microsoft.com/sharepoint/v3/contenttype/forms"/>
  </ds:schemaRefs>
</ds:datastoreItem>
</file>

<file path=customXml/itemProps3.xml><?xml version="1.0" encoding="utf-8"?>
<ds:datastoreItem xmlns:ds="http://schemas.openxmlformats.org/officeDocument/2006/customXml" ds:itemID="{33AED2E0-7783-4B7B-BE04-DA715A4BEB2B}">
  <ds:schemaRefs>
    <ds:schemaRef ds:uri="http://schemas.microsoft.com/office/2006/metadata/properties"/>
    <ds:schemaRef ds:uri="http://www.w3.org/2000/xmlns/"/>
    <ds:schemaRef ds:uri="4909147e-aa9e-4f8a-9f20-39a02f120b42"/>
    <ds:schemaRef ds:uri="http://schemas.microsoft.com/office/infopath/2007/PartnerControls"/>
    <ds:schemaRef ds:uri="bbafc549-c137-4a88-8495-c0676c4b27d9"/>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10</vt:i4>
      </vt:variant>
    </vt:vector>
  </HeadingPairs>
  <TitlesOfParts>
    <vt:vector size="10" baseType="lpstr">
      <vt:lpstr>CRITERIOS MTGE</vt:lpstr>
      <vt:lpstr>RAT - MTGE</vt:lpstr>
      <vt:lpstr>PATD 1 - CASETA GUARDIA X 6</vt:lpstr>
      <vt:lpstr>RAT - MTGE - BIOMÉTRICO</vt:lpstr>
      <vt:lpstr>RAT - MTGE - CAMARA CALLE</vt:lpstr>
      <vt:lpstr>RAT - MTGE - FORMAT VISITS REG</vt:lpstr>
      <vt:lpstr>RAT - MTGE - MONITOREO 24-7</vt:lpstr>
      <vt:lpstr>RAT - MTGE - REG TEMP FORM FISI</vt:lpstr>
      <vt:lpstr>RAT - MTGE - REG COMIDA FOR</vt:lpstr>
      <vt:lpstr>FAC. INSUMOS MÉDICOS ENTREGA.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FREDDY VILLAVICENCIO</dc:creator>
  <cp:keywords/>
  <dc:description/>
  <cp:lastModifiedBy>Freddy Villavicencio</cp:lastModifiedBy>
  <cp:revision/>
  <dcterms:created xsi:type="dcterms:W3CDTF">2024-06-18T15:38:09Z</dcterms:created>
  <dcterms:modified xsi:type="dcterms:W3CDTF">2026-05-12T20:03:02Z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0x010100C9072A6A8D4DBA41ADE7279E83CF091C</vt:lpwstr>
  </property>
</Properties>
</file>