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fepdpygestion-my.sharepoint.com/personal/freddypdp_fe-pdpygestion_com/Documents/Imágenes/PROTECCION DE DATOS/TRES ESTRUCTURAS DE APLICACIÓN/"/>
    </mc:Choice>
  </mc:AlternateContent>
  <xr:revisionPtr revIDLastSave="0" documentId="8_{E08B2E70-47FD-6A4C-8FC8-817BBBCDA6AA}" xr6:coauthVersionLast="47" xr6:coauthVersionMax="47" xr10:uidLastSave="{00000000-0000-0000-0000-000000000000}"/>
  <bookViews>
    <workbookView xWindow="-108" yWindow="-108" windowWidth="23256" windowHeight="12456" activeTab="1" xr2:uid="{520D4F02-D2E9-42CA-9E3C-6E03919EF63D}"/>
  </bookViews>
  <sheets>
    <sheet name="CRITERIOS CELDAS RAT-MTGE" sheetId="5" r:id="rId1"/>
    <sheet name="RAT-MTGE MEDICINA OCUPACIONAL" sheetId="6" r:id="rId2"/>
    <sheet name="DERECHOS Y LIBERTADES AFECTADOS" sheetId="1" r:id="rId3"/>
    <sheet name="OPERACIONES-MEDIOS-PROBABILIDAD" sheetId="2" r:id="rId4"/>
    <sheet name="RIESGO Y MITIGADORES" sheetId="3" r:id="rId5"/>
  </sheets>
  <externalReferences>
    <externalReference r:id="rId6"/>
  </externalReferences>
  <calcPr calcId="191028"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5" i="6" l="1"/>
  <c r="U15" i="6"/>
  <c r="T15" i="6"/>
  <c r="S15" i="6"/>
  <c r="N12" i="6"/>
  <c r="L12" i="6"/>
  <c r="I11" i="1"/>
  <c r="G22" i="3"/>
  <c r="F22" i="3"/>
  <c r="I12" i="1"/>
  <c r="G23" i="3"/>
  <c r="F23" i="3"/>
  <c r="I13" i="1"/>
  <c r="G24" i="3"/>
  <c r="F24" i="3"/>
  <c r="I14" i="1"/>
  <c r="G25" i="3"/>
  <c r="F25" i="3"/>
  <c r="I15" i="1"/>
  <c r="G26" i="3"/>
  <c r="F26" i="3"/>
  <c r="I10" i="1"/>
  <c r="G21" i="3"/>
  <c r="F21" i="3"/>
  <c r="I16" i="1"/>
  <c r="I17" i="1"/>
  <c r="I18" i="1"/>
  <c r="I19" i="1"/>
  <c r="I20" i="1"/>
  <c r="I21" i="1"/>
  <c r="I22" i="1"/>
  <c r="G12" i="3"/>
  <c r="F12" i="3"/>
  <c r="G13" i="3"/>
  <c r="F13" i="3"/>
  <c r="G14" i="3"/>
  <c r="F14" i="3"/>
  <c r="G15" i="3"/>
  <c r="F15" i="3"/>
  <c r="G16" i="3"/>
  <c r="F16" i="3"/>
  <c r="G17" i="3"/>
  <c r="F17" i="3"/>
  <c r="G18" i="3"/>
  <c r="F18" i="3"/>
  <c r="G11" i="3"/>
  <c r="F11" i="3"/>
  <c r="I24" i="2"/>
  <c r="I22" i="3"/>
  <c r="I25" i="2"/>
  <c r="I23" i="3"/>
  <c r="I26" i="2"/>
  <c r="I24" i="3"/>
  <c r="I27" i="2"/>
  <c r="I25" i="3"/>
  <c r="I28" i="2"/>
  <c r="I26" i="3"/>
  <c r="I23" i="2"/>
  <c r="I21" i="3"/>
  <c r="H26" i="3"/>
  <c r="E26" i="3"/>
  <c r="H25" i="3"/>
  <c r="E25" i="3"/>
  <c r="H24" i="3"/>
  <c r="E24" i="3"/>
  <c r="H23" i="3"/>
  <c r="E23" i="3"/>
  <c r="H22" i="3"/>
  <c r="E22" i="3"/>
  <c r="E21" i="3"/>
  <c r="H21" i="3"/>
  <c r="L26" i="3"/>
  <c r="K26" i="3"/>
  <c r="L25" i="3"/>
  <c r="K25" i="3"/>
  <c r="L24" i="3"/>
  <c r="K24" i="3"/>
  <c r="L23" i="3"/>
  <c r="K23" i="3"/>
  <c r="L22" i="3"/>
  <c r="K22" i="3"/>
  <c r="L21" i="3"/>
  <c r="K21" i="3"/>
  <c r="D26" i="3"/>
  <c r="D22" i="3"/>
  <c r="D23" i="3"/>
  <c r="D24" i="3"/>
  <c r="D25" i="3"/>
  <c r="E12" i="3"/>
  <c r="E13" i="3"/>
  <c r="E14" i="3"/>
  <c r="E15" i="3"/>
  <c r="E16" i="3"/>
  <c r="E17" i="3"/>
  <c r="E18" i="3"/>
  <c r="I11" i="2"/>
  <c r="I12" i="3"/>
  <c r="L12" i="3"/>
  <c r="K12" i="3"/>
  <c r="I12" i="2"/>
  <c r="I13" i="3"/>
  <c r="L13" i="3"/>
  <c r="K13" i="3"/>
  <c r="I13" i="2"/>
  <c r="I14" i="3"/>
  <c r="L14" i="3"/>
  <c r="K14" i="3"/>
  <c r="I14" i="2"/>
  <c r="I15" i="3"/>
  <c r="L15" i="3"/>
  <c r="K15" i="3"/>
  <c r="I15" i="2"/>
  <c r="I16" i="3"/>
  <c r="L16" i="3"/>
  <c r="K16" i="3"/>
  <c r="I16" i="2"/>
  <c r="I17" i="3"/>
  <c r="L17" i="3"/>
  <c r="K17" i="3"/>
  <c r="I17" i="2"/>
  <c r="I18" i="3"/>
  <c r="L18" i="3"/>
  <c r="K18" i="3"/>
  <c r="I10" i="2"/>
  <c r="I11" i="3"/>
  <c r="L11" i="3"/>
  <c r="K11" i="3"/>
  <c r="H11" i="3"/>
  <c r="H12" i="3"/>
  <c r="H13" i="3"/>
  <c r="H14" i="3"/>
  <c r="H15" i="3"/>
  <c r="H16" i="3"/>
  <c r="H17" i="3"/>
  <c r="H18" i="3"/>
  <c r="D17" i="3"/>
  <c r="D18" i="3"/>
  <c r="D12" i="3"/>
  <c r="D13" i="3"/>
  <c r="D14" i="3"/>
  <c r="D15" i="3"/>
  <c r="D16" i="3"/>
  <c r="C11" i="3"/>
  <c r="C4" i="2"/>
  <c r="C4" i="1"/>
  <c r="H6" i="2"/>
  <c r="C6" i="2"/>
  <c r="H4" i="2"/>
  <c r="H6" i="1"/>
  <c r="C6" i="1"/>
  <c r="H4" i="1"/>
  <c r="I29" i="2"/>
  <c r="I18" i="2"/>
  <c r="T9" i="5"/>
  <c r="T8" i="5"/>
  <c r="T7" i="5"/>
  <c r="E11" i="3"/>
  <c r="D21" i="3"/>
  <c r="D1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FREDDY V</author>
  </authors>
  <commentList>
    <comment ref="D10" authorId="0" shapeId="0" xr:uid="{73C27C79-71B4-42CB-AE95-5B4F2E33CBE3}">
      <text>
        <r>
          <rPr>
            <b/>
            <sz val="9"/>
            <color indexed="81"/>
            <rFont val="Tahoma"/>
            <family val="2"/>
          </rPr>
          <t>FREDDY V:
BRECHA IDENTIFICADA. NO HECHA PÚBLICA. DATOS BÁSICOS. MENOS DE 100 TITULARES. SG-PDP VALIDADO Y MANTENIDO</t>
        </r>
      </text>
    </comment>
    <comment ref="E10" authorId="0" shapeId="0" xr:uid="{8BF46CBB-D69E-49DC-824D-A218E13B75A0}">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10" authorId="0" shapeId="0" xr:uid="{05DF2F60-A668-45B7-A1A9-935F79700F9D}">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0" authorId="0" shapeId="0" xr:uid="{7FC43046-B768-4598-80E7-523A75E063C9}">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11" authorId="0" shapeId="0" xr:uid="{E62506BA-F00E-4110-B17F-BEA342B95B23}">
      <text>
        <r>
          <rPr>
            <b/>
            <sz val="9"/>
            <color indexed="81"/>
            <rFont val="Tahoma"/>
            <family val="2"/>
          </rPr>
          <t>FREDDY V:
BRECHA IDENTIFICADA. NO HECHA PÚBLICA. DATOS BÁSICOS. MENOS DE 100 TITULARES. SG-PDP VALIDADO Y MANTENIDO</t>
        </r>
      </text>
    </comment>
    <comment ref="E11" authorId="0" shapeId="0" xr:uid="{38E96310-C49C-4479-B7A6-EB365FBD8222}">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NI OTRO DE SUS DERECHOS FUNDAMENTALES.
</t>
        </r>
        <r>
          <rPr>
            <b/>
            <sz val="9"/>
            <color indexed="81"/>
            <rFont val="Tahoma"/>
            <family val="2"/>
          </rPr>
          <t>CONDICIÓN 3</t>
        </r>
        <r>
          <rPr>
            <sz val="9"/>
            <color indexed="81"/>
            <rFont val="Tahoma"/>
            <family val="2"/>
          </rPr>
          <t>: CATEGORÍA DE DATOS ESPECIAL. NIVEL DE CONSCIENCIA EN PDP BAJO (PANSI FASE INICIAL), PERO LA OPERACIÓN O MEDIOS DE COMUNICACIÓN DE LOS DATOS NO MATERIALIZA UNA AMENAZA DE BRECHA O FUGA DE DATOS NI PONE EN RIESGO LOS DERECHOS FUNDAMENTALES DE NINGÚN TITULAR.</t>
        </r>
      </text>
    </comment>
    <comment ref="F11" authorId="0" shapeId="0" xr:uid="{3B9C7425-1221-424A-86B3-BEF7B72B6D94}">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1" authorId="0" shapeId="0" xr:uid="{945DBEAB-2F67-480C-AA3E-B7FDFD00F923}">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12" authorId="0" shapeId="0" xr:uid="{5237195C-D567-4777-9787-942CCC772521}">
      <text>
        <r>
          <rPr>
            <b/>
            <sz val="9"/>
            <color indexed="81"/>
            <rFont val="Tahoma"/>
            <family val="2"/>
          </rPr>
          <t>FREDDY V:
BRECHA IDENTIFICADA. NO HECHA PÚBLICA. DATOS BÁSICOS. MENOS DE 100 TITULARES. SG-PDP VALIDADO Y MANTENIDO</t>
        </r>
      </text>
    </comment>
    <comment ref="E12" authorId="0" shapeId="0" xr:uid="{B18DD8CC-4CD4-4D22-BFAC-779487D7C87D}">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12" authorId="0" shapeId="0" xr:uid="{29A8AE53-8195-4016-A8BA-FBEA7632EEBB}">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2" authorId="0" shapeId="0" xr:uid="{7A70348F-8DBD-4BA5-BE03-DCC11E217AC4}">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13" authorId="0" shapeId="0" xr:uid="{C37A8D3F-C6B5-42B7-AFBD-ACF33542E155}">
      <text>
        <r>
          <rPr>
            <b/>
            <sz val="9"/>
            <color indexed="81"/>
            <rFont val="Tahoma"/>
            <family val="2"/>
          </rPr>
          <t>FREDDY V:
BRECHA IDENTIFICADA. NO HECHA PÚBLICA. DATOS BÁSICOS. MENOS DE 100 TITULARES. SG-PDP VALIDADO Y MANTENIDO</t>
        </r>
      </text>
    </comment>
    <comment ref="E13" authorId="0" shapeId="0" xr:uid="{7CE64A31-8991-4F10-BE89-94A04F9B62FF}">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13" authorId="0" shapeId="0" xr:uid="{AD5644EB-B5C0-4081-98F1-F64986A2C46C}">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3" authorId="0" shapeId="0" xr:uid="{C2BCB631-A07A-41C8-B1F3-8FCD13B94914}">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14" authorId="0" shapeId="0" xr:uid="{A50ACD07-2ED1-472A-BD0D-8AC106C6E4A1}">
      <text>
        <r>
          <rPr>
            <b/>
            <sz val="9"/>
            <color indexed="81"/>
            <rFont val="Tahoma"/>
            <family val="2"/>
          </rPr>
          <t>FREDDY V:
BRECHA IDENTIFICADA. NO HECHA PÚBLICA. DATOS BÁSICOS. MENOS DE 100 TITULARES. SG-PDP VALIDADO Y MANTENIDO</t>
        </r>
      </text>
    </comment>
    <comment ref="E14" authorId="0" shapeId="0" xr:uid="{863A7D08-6F65-440B-B656-184C1AD8354A}">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14" authorId="0" shapeId="0" xr:uid="{5ACBC81B-11ED-4BBD-B8D3-E36ED51DA21F}">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4" authorId="0" shapeId="0" xr:uid="{930DBF96-7F56-443A-BEC9-68568E06BF52}">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15" authorId="0" shapeId="0" xr:uid="{84B714C8-7E4E-4EC6-BF9F-7754FFC8FA30}">
      <text>
        <r>
          <rPr>
            <b/>
            <sz val="9"/>
            <color indexed="81"/>
            <rFont val="Tahoma"/>
            <family val="2"/>
          </rPr>
          <t>FREDDY V:
BRECHA IDENTIFICADA. NO HECHA PÚBLICA. DATOS BÁSICOS. MENOS DE 100 TITULARES. SG-PDP VALIDADO Y MANTENIDO</t>
        </r>
      </text>
    </comment>
    <comment ref="E15" authorId="0" shapeId="0" xr:uid="{56D3D631-D6C0-42F5-A97B-F805C7A7FE9A}">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15" authorId="0" shapeId="0" xr:uid="{9A300441-8940-43EC-B4C7-25A8D988ABB8}">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5" authorId="0" shapeId="0" xr:uid="{1B02DBA9-5CBB-4FCD-9E54-DFF3B346270C}">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16" authorId="0" shapeId="0" xr:uid="{4EFF97E5-3AD8-4EBF-BB2B-9B03D78783FD}">
      <text>
        <r>
          <rPr>
            <b/>
            <sz val="9"/>
            <color indexed="81"/>
            <rFont val="Tahoma"/>
            <family val="2"/>
          </rPr>
          <t>FREDDY V:
BRECHA IDENTIFICADA. NO HECHA PÚBLICA. DATOS BÁSICOS. MENOS DE 100 TITULARES. SG-PDP VALIDADO Y MANTENIDO</t>
        </r>
      </text>
    </comment>
    <comment ref="E16" authorId="0" shapeId="0" xr:uid="{B47369F4-7BB2-4708-A650-B5658CA1A01D}">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16" authorId="0" shapeId="0" xr:uid="{1CF9737D-A752-4618-8D22-9835F753FB01}">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6" authorId="0" shapeId="0" xr:uid="{0B30FA70-33FC-419C-97DB-32645CACDAEA}">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17" authorId="0" shapeId="0" xr:uid="{CFD2A93B-8CC0-4789-9F9B-10017BFCCFFC}">
      <text>
        <r>
          <rPr>
            <b/>
            <sz val="9"/>
            <color indexed="81"/>
            <rFont val="Tahoma"/>
            <family val="2"/>
          </rPr>
          <t>FREDDY V:
BRECHA IDENTIFICADA. NO HECHA PÚBLICA. DATOS BÁSICOS. MENOS DE 100 TITULARES. SG-PDP VALIDADO Y MANTENIDO</t>
        </r>
      </text>
    </comment>
    <comment ref="E17" authorId="0" shapeId="0" xr:uid="{01C5B887-6468-41F1-8CC4-CE81B1FB50B9}">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17" authorId="0" shapeId="0" xr:uid="{267D3FC6-F187-45D4-9940-85C7148712A0}">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7" authorId="0" shapeId="0" xr:uid="{0355BAA4-F255-4D5D-AB17-0C9390D76897}">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18" authorId="0" shapeId="0" xr:uid="{4749180E-2F07-4AD8-BA26-E06523B71759}">
      <text>
        <r>
          <rPr>
            <b/>
            <sz val="9"/>
            <color indexed="81"/>
            <rFont val="Tahoma"/>
            <family val="2"/>
          </rPr>
          <t>FREDDY V:
BRECHA IDENTIFICADA. NO HECHA PÚBLICA. DATOS BÁSICOS. MENOS DE 100 TITULARES. SG-PDP VALIDADO Y MANTENIDO</t>
        </r>
      </text>
    </comment>
    <comment ref="E18" authorId="0" shapeId="0" xr:uid="{14C4E79C-2AEE-4F4F-9D54-DE556DC94A94}">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18" authorId="0" shapeId="0" xr:uid="{BDD7D365-C0A9-465C-A3BC-757C0C7AF4ED}">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8" authorId="0" shapeId="0" xr:uid="{9475DE28-F6CC-491A-A3B6-BE1C9345A649}">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19" authorId="0" shapeId="0" xr:uid="{AC678A79-CEFC-4E76-9BF9-9E67F0A18F01}">
      <text>
        <r>
          <rPr>
            <b/>
            <sz val="9"/>
            <color indexed="81"/>
            <rFont val="Tahoma"/>
            <family val="2"/>
          </rPr>
          <t>FREDDY V:
BRECHA IDENTIFICADA. NO HECHA PÚBLICA. DATOS BÁSICOS. MENOS DE 100 TITULARES. SG-PDP VALIDADO Y MANTENIDO</t>
        </r>
      </text>
    </comment>
    <comment ref="E19" authorId="0" shapeId="0" xr:uid="{747DAEE7-6EED-4083-8311-2F9D9D25D7CA}">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19" authorId="0" shapeId="0" xr:uid="{E5F13B59-993A-4664-9E16-FDD566FFD4C2}">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19" authorId="0" shapeId="0" xr:uid="{48876D82-53C5-4831-8962-E329A5B54612}">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20" authorId="0" shapeId="0" xr:uid="{B447E270-0EA9-463D-BBBA-064FBF119536}">
      <text>
        <r>
          <rPr>
            <b/>
            <sz val="9"/>
            <color indexed="81"/>
            <rFont val="Tahoma"/>
            <family val="2"/>
          </rPr>
          <t>FREDDY V:
BRECHA IDENTIFICADA. NO HECHA PÚBLICA. DATOS BÁSICOS. MENOS DE 100 TITULARES. SG-PDP VALIDADO Y MANTENIDO</t>
        </r>
      </text>
    </comment>
    <comment ref="E20" authorId="0" shapeId="0" xr:uid="{F9F819FC-652E-4A95-8FFA-0FFE4682345F}">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20" authorId="0" shapeId="0" xr:uid="{F184FDD7-D99E-411E-8380-8352FBC2758A}">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20" authorId="0" shapeId="0" xr:uid="{E576DF78-1A00-4E1B-BB80-462DA2806926}">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 ref="D21" authorId="0" shapeId="0" xr:uid="{BEF58CDE-3959-414F-B52C-F269E514C60C}">
      <text>
        <r>
          <rPr>
            <b/>
            <sz val="9"/>
            <color indexed="81"/>
            <rFont val="Tahoma"/>
            <family val="2"/>
          </rPr>
          <t>FREDDY V:
BRECHA IDENTIFICADA. NO HECHA PÚBLICA. DATOS BÁSICOS. MENOS DE 100 TITULARES. SG-PDP VALIDADO Y MANTENIDO</t>
        </r>
      </text>
    </comment>
    <comment ref="E21" authorId="0" shapeId="0" xr:uid="{4DDFBB18-762B-473A-B87E-77F23D0F1928}">
      <text>
        <r>
          <rPr>
            <b/>
            <sz val="9"/>
            <color indexed="81"/>
            <rFont val="Tahoma"/>
            <family val="2"/>
          </rPr>
          <t>FREDDY V:</t>
        </r>
        <r>
          <rPr>
            <sz val="9"/>
            <color indexed="81"/>
            <rFont val="Tahoma"/>
            <family val="2"/>
          </rPr>
          <t xml:space="preserve">
 EL TITULAR SIENTE QUE SUS DyL HAN SIDO VULNERADOS. SIN EMBARGO, NO SUFRE UN DAÑO FÍSICO, NO EXISTE UN IMPACTO TANGIBLE, EL DAÑO ES EMOCIONAL, UNA INCOMODIDAD.
</t>
        </r>
        <r>
          <rPr>
            <b/>
            <sz val="9"/>
            <color indexed="81"/>
            <rFont val="Tahoma"/>
            <family val="2"/>
          </rPr>
          <t>CONDICIÓN 1</t>
        </r>
        <r>
          <rPr>
            <sz val="9"/>
            <color indexed="81"/>
            <rFont val="Tahoma"/>
            <family val="2"/>
          </rPr>
          <t xml:space="preserve">: SG-PDP </t>
        </r>
        <r>
          <rPr>
            <b/>
            <sz val="9"/>
            <color indexed="81"/>
            <rFont val="Tahoma"/>
            <family val="2"/>
          </rPr>
          <t>NO</t>
        </r>
        <r>
          <rPr>
            <sz val="9"/>
            <color indexed="81"/>
            <rFont val="Tahoma"/>
            <family val="2"/>
          </rPr>
          <t xml:space="preserve"> VALIDADO EN FASE I o II. CATEGORÍA DE DATOS ES BÁSICA. NIVEL DE CONSCIENCIA EN PDP EN DESARROLLO 
</t>
        </r>
        <r>
          <rPr>
            <b/>
            <sz val="9"/>
            <color indexed="81"/>
            <rFont val="Tahoma"/>
            <family val="2"/>
          </rPr>
          <t>CONDICIÓN 2</t>
        </r>
        <r>
          <rPr>
            <sz val="9"/>
            <color indexed="81"/>
            <rFont val="Tahoma"/>
            <family val="2"/>
          </rPr>
          <t xml:space="preserve">: SG-PDP NO VALIDADO EN FASE I o II. CATEGORÍA DE DATOS ESPECIAL. NIVEL DE CONSCIENCIA EN PDP BAJO (PANSI FASE INICIAL), PERO LA BRECHA NO PONE EN RIESGO LA VIDA DE NINGÚN TITULAR.
</t>
        </r>
      </text>
    </comment>
    <comment ref="F21" authorId="0" shapeId="0" xr:uid="{87FFB259-1003-4F51-9DD2-88CC40DD317F}">
      <text>
        <r>
          <rPr>
            <b/>
            <sz val="9"/>
            <color indexed="81"/>
            <rFont val="Tahoma"/>
            <family val="2"/>
          </rPr>
          <t>FREDDY V:</t>
        </r>
        <r>
          <rPr>
            <sz val="9"/>
            <color indexed="81"/>
            <rFont val="Tahoma"/>
            <family val="2"/>
          </rPr>
          <t xml:space="preserve">
EL TITULAR SIENTE QUE SUS DyL HAN SIDO VULNERADOS. SUFRE UN DAÑO REAL Y TANGIBLE. DAÑO EMOCIONAL. EL DAÑO FÍSICO SE MANIFIESTA COMO REPROCESOS, TRÁMITES NO DESEADOS, ACTIVIDADES NO PROGRAMADAS QUE LE CAUSAN ENFADO, INCOMODIDAD, GASTOS NO PRESUPUESTADOS.
SG-PDP NO ESTÁ EN EJECUCIÓN. CATEGORÍA DE DATOS ESPECIALES. NIVEL DE CONSCIENCIA EN PDP BAJO. VOLUMEN DE TITULARES MENOR A 1000 Y VOLUMEN DE DATOS MENOR A 30</t>
        </r>
      </text>
    </comment>
    <comment ref="G21" authorId="0" shapeId="0" xr:uid="{FA8213E4-3165-41DB-BABC-EDC0BCEF748F}">
      <text>
        <r>
          <rPr>
            <b/>
            <sz val="9"/>
            <color indexed="81"/>
            <rFont val="Tahoma"/>
            <family val="2"/>
          </rPr>
          <t>FREDDY V:</t>
        </r>
        <r>
          <rPr>
            <sz val="9"/>
            <color indexed="81"/>
            <rFont val="Tahoma"/>
            <family val="2"/>
          </rPr>
          <t xml:space="preserve">
DyL HAN SIDO VULNERADOS DE MANERA FLAGRANTE. SUFRE UN DAÑO REAL Y TANGIBLE,  DAÑO EMOCIONAL. EL DAÑO FÍSICO SE MANIFIESTA COMO UN REPROCESOS, TRÁMITES NO DESEADOS, ACTIVIDADES NO PROGRAMADAS QUE LE CAUSAN ENFADO, INCOMODIDAD, GASTOS NO PRESUPUESTADOS SIN LA POSIBILIDAD DE SER CUBIERTOS. 
SG-PDP NO ESTÁ EN EJECUCIÓN. CATEGORÍA DE DATOS ESPECIALES. NIVEL DE CONSCIENCIA EN PDP BAJO. VOLUMEN DE TITULARES MAYOR A 1000 Y VOLUMEN DE DATOS MAYOR A 30</t>
        </r>
      </text>
    </comment>
  </commentList>
</comments>
</file>

<file path=xl/sharedStrings.xml><?xml version="1.0" encoding="utf-8"?>
<sst xmlns="http://schemas.openxmlformats.org/spreadsheetml/2006/main" count="379" uniqueCount="289">
  <si>
    <t>COMENTARIOS</t>
  </si>
  <si>
    <t>INFRAESTRUCTURA</t>
  </si>
  <si>
    <t>NULO</t>
  </si>
  <si>
    <t>BAJO</t>
  </si>
  <si>
    <t>ALTO</t>
  </si>
  <si>
    <t>NOMBRE DEL TRATAMIENTO</t>
  </si>
  <si>
    <t xml:space="preserve">DERECHOS Y LIBERTADES DE LOS TITULARES </t>
  </si>
  <si>
    <t xml:space="preserve">DERECHOS Y LIBERTADES QUE SON AFECTADOS POR LA CATEGORÍA Y TIPO DE DATOS QUE USA EL TRATAMIENTO             </t>
  </si>
  <si>
    <t xml:space="preserve">PROBABILIDAD QUE SEAN EXPLOTADAS LAS VULNERABILIDADES DE LAS OPERACIOES DE TRATAMIENTO O LOS MEDIOS UTILIZADOS             </t>
  </si>
  <si>
    <t>FÍSICAS</t>
  </si>
  <si>
    <t>TÉCNICAS</t>
  </si>
  <si>
    <t>ACTIVIDAD DE TRATAMIENTO</t>
  </si>
  <si>
    <t>VULNERABILIDAD</t>
  </si>
  <si>
    <t xml:space="preserve">IMPACTO </t>
  </si>
  <si>
    <t xml:space="preserve">PROBABILIDAD </t>
  </si>
  <si>
    <t>JURÍDICAS</t>
  </si>
  <si>
    <t>ORGANIZATIVAS</t>
  </si>
  <si>
    <t>ADMINISTRATIVAS</t>
  </si>
  <si>
    <t>OPERATIVAS</t>
  </si>
  <si>
    <t>COMPETENCIAS</t>
  </si>
  <si>
    <t>TECNOLOGÍA</t>
  </si>
  <si>
    <t>MEDIO</t>
  </si>
  <si>
    <t>RIESGO INHERENTE (AxB)</t>
  </si>
  <si>
    <t>AMENAZA</t>
  </si>
  <si>
    <r>
      <rPr>
        <b/>
        <sz val="6"/>
        <color theme="1"/>
        <rFont val="Segoe UI"/>
        <family val="2"/>
      </rPr>
      <t xml:space="preserve">PONDERACIÓN     </t>
    </r>
    <r>
      <rPr>
        <b/>
        <sz val="9"/>
        <color theme="1"/>
        <rFont val="Segoe UI"/>
        <family val="2"/>
      </rPr>
      <t xml:space="preserve">              (A)</t>
    </r>
  </si>
  <si>
    <r>
      <rPr>
        <b/>
        <sz val="6"/>
        <color theme="1"/>
        <rFont val="Segoe UI"/>
        <family val="2"/>
      </rPr>
      <t xml:space="preserve">PONDERACIÓN   </t>
    </r>
    <r>
      <rPr>
        <b/>
        <sz val="9"/>
        <color theme="1"/>
        <rFont val="Segoe UI"/>
        <family val="2"/>
      </rPr>
      <t>(B)</t>
    </r>
  </si>
  <si>
    <t>COMENTARIOS SOBRE AMENAZAS</t>
  </si>
  <si>
    <t>MEDIDAS, CONTROLES y HERRAMIENTAS PARA REFORZAR MITIGADORES PANSI</t>
  </si>
  <si>
    <t>RIESGO INHERENTE DERECHOS y LIBERTADES</t>
  </si>
  <si>
    <t>COMBINADOS</t>
  </si>
  <si>
    <t>CATEGORÍAS DE DATOS PERSONALES                                                                             (R-005-2026, 15.2)</t>
  </si>
  <si>
    <t>NOMBRE RESPONSABLES DE TRATAMIENTO (38.1-A)</t>
  </si>
  <si>
    <t>DATOS DE CONTACTO RESPONSABLE DE TRATAMIENTO (38.1-B)</t>
  </si>
  <si>
    <t>NOMBRE DELEGADO PROTECCION DATOS (38.1-C)</t>
  </si>
  <si>
    <t>DATOS DE CONTACTO DPD (38.1-D)</t>
  </si>
  <si>
    <t>FINALIDADES DEL TRATAMIENTO (38.2)</t>
  </si>
  <si>
    <t>DESTINATARIOS  (38.3)</t>
  </si>
  <si>
    <t>TITULARES DE DATOS PERSONALES DE QUIENES SE TRATA LA INFORMACIÓN                    (R-005-2026, 15.3)</t>
  </si>
  <si>
    <t>FRECUENCIA DEL TRATAMIENTO                           (R-005-2026, 15.4)</t>
  </si>
  <si>
    <t>PERMANENCIA DEL TRATAMIENTO                                             (R-005-2026, 15.5)</t>
  </si>
  <si>
    <t>CONTINUA EN TIEMPO REAL</t>
  </si>
  <si>
    <t>TEMPORAL</t>
  </si>
  <si>
    <t>CATEGORIA DE LOS DATOS (38.4-B)  ESPECIALES, COMUNES, MIXTOS</t>
  </si>
  <si>
    <t>USO DE PERFILES (38.5)</t>
  </si>
  <si>
    <t>BASES LEGITIMADORAS DEL TRATAMIENTO (38.7)</t>
  </si>
  <si>
    <t>PLAZOS DE RETENCION PARA LA SUPRESION (38.8-A)</t>
  </si>
  <si>
    <t>NÚMERO DE TITULARES                                                               (R-005-2026, 7.1)</t>
  </si>
  <si>
    <t>VOLUMEN DE DATOS PERSONALES                                       (R-005-2026, 7.2)</t>
  </si>
  <si>
    <t>CATEGORÍAS DE DATOS PERSONALES                                       (R-005-2026, 7.3)</t>
  </si>
  <si>
    <t>FRECUENCIA DEL TRATAMIENTO DATOS PERSONALES                                                              (R-005-2026, 7.4)</t>
  </si>
  <si>
    <t>PERMANENCIA DEL TRATAMIENTO DE DATOS PERSONALES                                                           (R-005-2026, 7.5)</t>
  </si>
  <si>
    <t>ALCANCE GEOGRÁFICO DEL TRATAMIENTO                                                    (R-005-2026, 7.6)</t>
  </si>
  <si>
    <t>EIPD                                (R-005-2026, 12.1)</t>
  </si>
  <si>
    <t>DPD                                       (R-005-2026, 12.2)</t>
  </si>
  <si>
    <t>REFORZAR PANSI                                                    (R-005-2026, 12.4)</t>
  </si>
  <si>
    <t>VIGILANCIA MONITOREO</t>
  </si>
  <si>
    <t>DE 0 A 1.000</t>
  </si>
  <si>
    <t xml:space="preserve">ENTRE 31 Y 100 TIPOS DE DATOS </t>
  </si>
  <si>
    <t>ESPECIALES</t>
  </si>
  <si>
    <t>ALCANCE LOCAL</t>
  </si>
  <si>
    <t>EL TRATAMIENTO SE REALIZA CON IA</t>
  </si>
  <si>
    <t>JURIDICAS (38.9-A)</t>
  </si>
  <si>
    <t>ORGANIZATIVAS (38.9-B)</t>
  </si>
  <si>
    <t>ADMINISTRATIVAS (38.9-C)</t>
  </si>
  <si>
    <t>TÉCNICAS (38.9-D)</t>
  </si>
  <si>
    <t>FÍSICAS (38.9-E)</t>
  </si>
  <si>
    <t>NO</t>
  </si>
  <si>
    <t>IMPACTO SOBRE DERECHOS Y LIBERTADES                                                           VALORACIÓN DEL DAÑO SOBRE EL TITULAR DE LOS DATOS</t>
  </si>
  <si>
    <t xml:space="preserve">EXISTE UN ESQUEMA DE PROTECCIÓN DE DATOS IMPLANTADO Y VALIDADO. LAS RUTINAS PDP SE PRACTICAN Y ESTÁN DENTRO DEL PLAN DE SIMULACROS. EL TITULAR INTERNO QUE REALIZA EL TRATAMIENTO ESTÁ CUMPLIENDO CON EL PROGRAMA DE CONSCIENCIACIÓN. </t>
  </si>
  <si>
    <t>EXISTE UN ESQUEMA DE PROTECCIÓN DE DATOS EN FASE DE IMPLANTACIÓN. LAS RUTINAS PDP ESTÁN  DISEÑADAS, SE PRACTICAN Y ESTÁN DENTRO DEL PLAN DE SIMULACROS. EL TITULAR INTERNO QUE REALIZA EL TRATAMIENTO ESTÁ CUMPLIENDO CON EL PROGRAMA DE CONSCIENCIACIÓN. LAS OPERACIONES DEL TRATAMIENTO POSEEN UN NIVEL DE SEGURIDAD EN PROCESO DE FORTALECIMIENTO.</t>
  </si>
  <si>
    <t>EXISTE UN ESQUEMA DE PROTECCIÓN DE DATOS EN FASE DE DOCUMENTAL. LAS RUTINAS PDP ESTÁN  DISEÑADAS,  AÚN NO SE PRACTICAN NI ESTÁN DENTRO DEL PLAN DE SIMULACROS. EL TITULAR INTERNO QUE REALIZA EL TRATAMIENTO ESTÁ CUMPLIENDO CON EL PROGRAMA DE profesonalización del PANSI. SOLO SE HA CUBIERTO LA FASE INICIAL DEL PANSI. AÚN NO HAY CLARIDAD SOBRE ¿QUE ES UN SG-PDP?. LAS OPERACIONES DEL TRATAMIENTO SON VULNERABLES Y PUEDEN PERMITIR PRACTICAS INSEGURAS.</t>
  </si>
  <si>
    <t>Como la fase de implantación del SG-PDP incide sobre la probabilidad que exista una brecha o fuga de los datos a causa de malas practicas en el PATD</t>
  </si>
  <si>
    <t>Solo existen documentos desarticulados, no cumple los requisitos del artículo 47, no están identificados los PATD ni los puntos de interacción Titular - RT, la R-0028-2025 y LA R-0005-2026 están consideradas en la documentación existente. Todo esto plantea un escenario de alta probabilidad de prácticas inseguras</t>
  </si>
  <si>
    <t>CRITERIOS MTGE</t>
  </si>
  <si>
    <t>NÚMERO DE TITULARES</t>
  </si>
  <si>
    <t>Puntos</t>
  </si>
  <si>
    <t>VOLÚMEN DE DATOS TRATADOS</t>
  </si>
  <si>
    <t xml:space="preserve">Puntos </t>
  </si>
  <si>
    <t xml:space="preserve">CATEGORÍAS DE DATOS PERSONALES TRATADOS </t>
  </si>
  <si>
    <t>FRECUENCIA DEL TRATAMIENTO</t>
  </si>
  <si>
    <t>PERMANENCIA DEL TRATAMIENTO</t>
  </si>
  <si>
    <t xml:space="preserve">ALCANCE GEOGRÁFICO DEL TRATAMIENTO </t>
  </si>
  <si>
    <t>MTGE</t>
  </si>
  <si>
    <t>SECTOR ECONÓMICO</t>
  </si>
  <si>
    <t>BASE LICITUD</t>
  </si>
  <si>
    <t>HASTA 10 TIPOS DE DATOS POR TITULAR</t>
  </si>
  <si>
    <t xml:space="preserve">BÁSICOS </t>
  </si>
  <si>
    <t xml:space="preserve">TRATAMIENTO PUNTUAL </t>
  </si>
  <si>
    <t>OCASIONAL</t>
  </si>
  <si>
    <t>DE 1.001 A 10.000</t>
  </si>
  <si>
    <t xml:space="preserve">ENTRE 11 Y 30 TIPOS DE DATOS </t>
  </si>
  <si>
    <t>PERIÓDICA RECURRENTE</t>
  </si>
  <si>
    <t>NACIONAL</t>
  </si>
  <si>
    <t xml:space="preserve">CONTRATO MANUFACTURA </t>
  </si>
  <si>
    <t>7.5</t>
  </si>
  <si>
    <t>DE 10.001 A 100.000</t>
  </si>
  <si>
    <t>ESPECIAL GRUPOS VULNERABLES</t>
  </si>
  <si>
    <t>PROLONGADA</t>
  </si>
  <si>
    <t>GLOBAL</t>
  </si>
  <si>
    <t>LEY TRANSPORTE SEGURO</t>
  </si>
  <si>
    <t>7.2</t>
  </si>
  <si>
    <t>DE 101.000 O MÁS</t>
  </si>
  <si>
    <t xml:space="preserve">DESDE 101 O MÁS </t>
  </si>
  <si>
    <t>NINGUNO</t>
  </si>
  <si>
    <t>BÁSICOS</t>
  </si>
  <si>
    <t>TITULARES INTERNOS - PATD</t>
  </si>
  <si>
    <t>SI</t>
  </si>
  <si>
    <t>7.1 - CONSENTIMIENTO</t>
  </si>
  <si>
    <t>TIEMPO DEL TRATAMIENTO + 3 MESES</t>
  </si>
  <si>
    <t>SALUD</t>
  </si>
  <si>
    <t>TITULARES INTERNOS - EMPLEADO</t>
  </si>
  <si>
    <t>SI - USO DE CORREO ELECTRÓNICO</t>
  </si>
  <si>
    <t>7.2 - OBLIGACIÓN LEGAL</t>
  </si>
  <si>
    <t>TIEMPO DEL TRATAMIENTO + 7 AÑOS</t>
  </si>
  <si>
    <t>TRATAMIENTOS AUTOMATIZADOS</t>
  </si>
  <si>
    <t>TITULARES EXTERNOS ENTREGADOS POR UN RESPONSABLE</t>
  </si>
  <si>
    <t>SI - USO DE PLATAFORMA OODO</t>
  </si>
  <si>
    <t>7.3 - ORDEN JUDICIAL</t>
  </si>
  <si>
    <t>TIEMPO DEL TRATAMIENTO</t>
  </si>
  <si>
    <t>GRUPOS VULNERABLES</t>
  </si>
  <si>
    <t>TITULAREES EXTERNOS - VISITAS</t>
  </si>
  <si>
    <t>SI - POR TIPO DE DESTINATARIO</t>
  </si>
  <si>
    <t>7.4 - INTERÉS PÚBLICO</t>
  </si>
  <si>
    <t>DATOS BIOMETRICOS</t>
  </si>
  <si>
    <t>TITULARES EXTERNOS - PATD HONORARIOS</t>
  </si>
  <si>
    <t>SI - POR REPORTE A MATRIZ</t>
  </si>
  <si>
    <t>7.5 - PRE CONTRACTUAL O CONTRACTUAL</t>
  </si>
  <si>
    <t>TITULARES INTERNOS - EMPLEADOS</t>
  </si>
  <si>
    <t>CREDITICIA FINANCIERA</t>
  </si>
  <si>
    <t>TITULARES EXTERNOS - CANDIDATOS</t>
  </si>
  <si>
    <t>7.6 - INTERESES VITALES</t>
  </si>
  <si>
    <t>TITULARES EXTERNOS - ENTREGADOS POR UN RESPONSABLE</t>
  </si>
  <si>
    <t>NIÑAS, NIÑOS Y ADOLECENTES EN ENTORNOS INSTITUCIONALES Y TECNOLÓICOS</t>
  </si>
  <si>
    <t>7.7 - BASES DE ACCESO PÚBLICO</t>
  </si>
  <si>
    <t>TITULARES EXTERNOS - RECOGIDOS POR UN PATD</t>
  </si>
  <si>
    <t>TRANSFERENCIAS SISTEMÁTICAS LOCAL O NTERNACIONAL</t>
  </si>
  <si>
    <t>7.8 - INTERÉS LEGÍTIMO</t>
  </si>
  <si>
    <t>TITULARES EXTERNOS - NNA - ENTREGADOS POR UN RESPONSABLES</t>
  </si>
  <si>
    <t>MENSAJERIA ACELERADA O COURIER</t>
  </si>
  <si>
    <t>PATD INTERNO</t>
  </si>
  <si>
    <t>ANTES DEL PROYECTO PDP</t>
  </si>
  <si>
    <t>TRATAMIENTO ACTIVO</t>
  </si>
  <si>
    <t>NO HAY ENCARGADO DE TRATAMIENTO</t>
  </si>
  <si>
    <t>IESS</t>
  </si>
  <si>
    <t>TITULARES EXTERNOS - NNA - RECOGIDOS POR UN PATD</t>
  </si>
  <si>
    <t>PATD DESTINATARIO</t>
  </si>
  <si>
    <t>INTERNACIONAL</t>
  </si>
  <si>
    <t>DURANTE PROYECTO PDP</t>
  </si>
  <si>
    <t>TRATAMIENTO INACTIVO</t>
  </si>
  <si>
    <t>IDENTIFICACIÓN</t>
  </si>
  <si>
    <t>MIN. TRABAJO</t>
  </si>
  <si>
    <t>TITULARES EXTERNOS - VISITANTES - RECOGIDOS POR UN PATD</t>
  </si>
  <si>
    <t>PATD ENCARGADO</t>
  </si>
  <si>
    <t>NO HAY CADENA DE 3ras PARTES</t>
  </si>
  <si>
    <t>SG-PDP VALIDADO</t>
  </si>
  <si>
    <t>CAMBIOS EN MEDIDA DE SEGURIDAD</t>
  </si>
  <si>
    <t>IDENTIFICACIÓN Y UBICACIÓN</t>
  </si>
  <si>
    <t>UAFE</t>
  </si>
  <si>
    <t>TITULARES EXTERNOS - CANDIDATOS - TOMADOS DE PÁGINA WEB</t>
  </si>
  <si>
    <t>PATD 3ra PARTE</t>
  </si>
  <si>
    <t>CAMBIO DE ENCARGADO</t>
  </si>
  <si>
    <t>PROFESION</t>
  </si>
  <si>
    <t>SEPS</t>
  </si>
  <si>
    <t>TITULARES EXTERNOS - CANDIDATOS - RECOGIDOS POR PATD</t>
  </si>
  <si>
    <t>CAMBIO EN LA CADENA 3ras PARTES</t>
  </si>
  <si>
    <t>CONTACTO</t>
  </si>
  <si>
    <t>ARCOTEL</t>
  </si>
  <si>
    <t>PLATAFORMA DIGITAL OODO</t>
  </si>
  <si>
    <t>SENSIBLES</t>
  </si>
  <si>
    <t>CORREO ELECTRÓNICO (MS OFFICE, GMAIL, OTRO)</t>
  </si>
  <si>
    <t>PLATAFORMA OODO y MS OFFICE</t>
  </si>
  <si>
    <t>NNA</t>
  </si>
  <si>
    <t>PLATAFORMA OODO y FACTURADOR SRI</t>
  </si>
  <si>
    <t>CREDITICIOS</t>
  </si>
  <si>
    <t>DISCAPACIDAD</t>
  </si>
  <si>
    <t>DIFUNTOS</t>
  </si>
  <si>
    <t>HOJA DE VIDA, CÉDULA, OTROS</t>
  </si>
  <si>
    <t>VIDEOS</t>
  </si>
  <si>
    <t>IMÁGENES</t>
  </si>
  <si>
    <t>REFERENCIAS</t>
  </si>
  <si>
    <t>NOMBRE DE LA ACTIVIDAD DE TRATAMIENTO</t>
  </si>
  <si>
    <t>UBICACIÓN DE LA ACTIVIDAD DE TRATAMIENTO</t>
  </si>
  <si>
    <t>DEPARTAMENTO QUE REALIZA EL TRATAMIENTO</t>
  </si>
  <si>
    <t>PATD DONDE SE REALIZA EL TRATAMIENTO</t>
  </si>
  <si>
    <t>UBICACIÓN DEL ENCARGADO DE TRATAMIENTO</t>
  </si>
  <si>
    <t>UBICACIÓN CADENA DE 3ras PARTES COMUNICADAS</t>
  </si>
  <si>
    <t>IDENTIFICACIÓN DEL PATD DONDE SE REALIZA EL TRATAMIENTO</t>
  </si>
  <si>
    <t>CONTROL DE CAMBIOS DE LA ACTIVIDAD DE TRATAMIENTO</t>
  </si>
  <si>
    <t>INICIO DE LA ACTIVIDAD DE TRATAMIENTO</t>
  </si>
  <si>
    <t>FECHA DE REVISÓN-AUDITORÍA DEL TRATAMIENTO</t>
  </si>
  <si>
    <t>PRÓXIMA REVISIÓN-AUDITORÍA</t>
  </si>
  <si>
    <t>RESULTADO DE LA REVISIÓN.AUDITORÍA</t>
  </si>
  <si>
    <t>MEDIDAS DE SEGURIDAD REFORZADAS DERIVADAS DE LA EIPD                                                                                                                  (R-005-2026, 12.4)</t>
  </si>
  <si>
    <t>DESCRIPCIÓN DEL TRATAMIENTO                                     (R-005-2026, 15.1)</t>
  </si>
  <si>
    <t>CATEGORÍA DE LOS DATOS RECOGIDOS</t>
  </si>
  <si>
    <t>TIPOS DE DATOS DE DATOS RECOGIDOS</t>
  </si>
  <si>
    <t>REFUERZO MEDIDAS JURÍDICAS                           (R-005-2026, 12.4)</t>
  </si>
  <si>
    <t>REFUERZO MEDIDAS ORGANIZATIVAS                          (R-005-2026, 12.4)</t>
  </si>
  <si>
    <t>REFUERZO MEDIDAS ADMINISTRATIVAS                           (R-005-2026, 12.4)</t>
  </si>
  <si>
    <t>REFUERZO MEDIDAS TÉCNICAS                           (R-005-2026, 12.4)</t>
  </si>
  <si>
    <t>REFUERZO MEDIDAS FÍSICAS                         (R-005-2026, 12.4)</t>
  </si>
  <si>
    <t xml:space="preserve">Las medidas Físicas son las definidas para adecuar el nivel de seguridad (PANSI)        verificar en este enlace: </t>
  </si>
  <si>
    <t>TRANSFERENCIA INTERNACIONAL DE DATOS (38.6)</t>
  </si>
  <si>
    <t xml:space="preserve">Las medidas Jurídicas son las definidas para adecuar el nivel de seguridad (PANSI)        verificar en este enlace: </t>
  </si>
  <si>
    <t xml:space="preserve">Las medidas Organizativas son las definidas para adecuar el nivel de seguridad (PANSI)        verificar en este enlace: </t>
  </si>
  <si>
    <t xml:space="preserve">Las medidas Administrativas son las definidas para adecuar el nivel de seguridad (PANSI)        verificar en este enlace: </t>
  </si>
  <si>
    <t xml:space="preserve">Las medidasTécnicas son las definidas para adecuar el nivel de seguridad (PANSI)        verificar en este enlace: </t>
  </si>
  <si>
    <t>BRECHA IDENTIFICADA. HECHA PÚBLICA. DATOS ESPECIALES. MAS DE 100 TITULARES. NO HAY PROYECTO SG-PDP. NO SE TRABAJA  47 LOPDP. HAY GRC DESARTICULADO.</t>
  </si>
  <si>
    <t>BRECHA IDENTIFICADA. NO HECHA PÚBLICA. DATOS BÁSICOS. MAS DE 100 TITULARES. SG-PDP VALIDADO EN FASE PROYECTO. SE TRABAJA  47 LOPDP. GRC ARTICULADO</t>
  </si>
  <si>
    <t>BRECHA IDENTIFICADA. NO HECHA PÚBLICA. DATOS BÁSICOS. MENOS DE 100 TITULARES. SG-PDP VALIDADO Y MANTENIDO. GRC ARTICULADO Y REFRESCADO</t>
  </si>
  <si>
    <t>BRECHA IDENTIFICADA. HECHA PÚBLICA. DATOS ESPECIALES. MAS DE 100 TITULARES. NO HAY PROYECTO SG-PDP. NO HAY GRC.</t>
  </si>
  <si>
    <t>LISTAS PARA DERECHOS Y LIBERTADES FUNDAMENTALES - IMPACTO - DAÑO - NIVEL DE SEGURIDAD</t>
  </si>
  <si>
    <r>
      <t xml:space="preserve">LISTAS PARA NIVEL DE PROBABILIDAD - </t>
    </r>
    <r>
      <rPr>
        <b/>
        <sz val="11"/>
        <color theme="1"/>
        <rFont val="Calibri"/>
        <family val="2"/>
        <scheme val="minor"/>
      </rPr>
      <t>OPERACIONES</t>
    </r>
    <r>
      <rPr>
        <sz val="11"/>
        <color theme="1"/>
        <rFont val="Calibri"/>
        <family val="2"/>
        <scheme val="minor"/>
      </rPr>
      <t xml:space="preserve"> - NIVEL DE SEGURIDAD</t>
    </r>
  </si>
  <si>
    <r>
      <t xml:space="preserve">LISTAS PARA NIVEL DE PROBABILIDAD - </t>
    </r>
    <r>
      <rPr>
        <b/>
        <sz val="11"/>
        <color theme="1"/>
        <rFont val="Calibri"/>
        <family val="2"/>
        <scheme val="minor"/>
      </rPr>
      <t>MEDIOS</t>
    </r>
    <r>
      <rPr>
        <sz val="11"/>
        <color theme="1"/>
        <rFont val="Calibri"/>
        <family val="2"/>
        <scheme val="minor"/>
      </rPr>
      <t xml:space="preserve"> - NIVEL DE SEGURIDAD</t>
    </r>
  </si>
  <si>
    <t>EXISTE UN SG-PDP VALIDADO Y MANTENIDO. LAS RUTINAS PDP SE PRACTICAN. PLAN DE SIMULACROS ACTIVO. GRC ARTICULADO Y REFERESCADO</t>
  </si>
  <si>
    <t>EXISTE PROYECTO SG-PDP. NO ESTÁ VALIDADO. LAS RUTINAS PDP SE PRACTICAN. PLAN DE SIMULACROS FASE INICIAL. PANSI EN FASE INICIAL.</t>
  </si>
  <si>
    <t>PROYECTO SG-PDP INSIPIENTE. HAY DPO, ALGUNOS DOCUMENTOS, HAY EQUIPO INTERNO. NO HAY GRC. NO HAY PANSI</t>
  </si>
  <si>
    <t>NO HAY PROYECTO SG-PDP. HAY DPO, ALGUNOS DOCUMENTOS, NO HAY EQUIPO INTERNO. NO HAY APOYO DE LA GERENCIA. EL DPD TIENE TODA LA CARGA</t>
  </si>
  <si>
    <t>TIPOS DE DATOS</t>
  </si>
  <si>
    <t>DESCRIPCIÓN DEL TRATAMIENTO</t>
  </si>
  <si>
    <t>TRANSFERENCIAS INTERNACIONALES</t>
  </si>
  <si>
    <t>UBICACIÓN 3ras PARTES</t>
  </si>
  <si>
    <t>UBICACIÓN ENCARGADO DE TRATAMIENTO</t>
  </si>
  <si>
    <t>OFICINAS TRAUMA ORTOPEDICS</t>
  </si>
  <si>
    <t>NO HAY DESTINATARIOS</t>
  </si>
  <si>
    <t>NO DETERMINADA. CAPACIDAD DE MEMORIA DEL DISPOSITIVO</t>
  </si>
  <si>
    <t>EXÁMENES MÉDICOS OBLIGATORIOS                                                     (Pre ocupacional, Periódica y Retiro)</t>
  </si>
  <si>
    <t>LABORATORIOS CLÍNICOS</t>
  </si>
  <si>
    <t>ENCARGADO DE TRATAMIENTO</t>
  </si>
  <si>
    <t>Cumplir con el marco normativo impuesto por el Código del Trabajo (Art. 42 - Obligaciones del empleador) y la normativa del IESS (Resolución CD 513 - Reglamento del seguro general de riesgos del trabajo)</t>
  </si>
  <si>
    <t>MÉDICO OCUPACIONAL + PLATAFORMA LABORATORIO + CORREO ELECTRÓNICO</t>
  </si>
  <si>
    <t>COMO REQUISITO DE INGRESO SE REALIZAN EXÁMENES MÉDICOS AL NUEVO INGRESO, DE MANERA PERIÓDICA A TRABAJADORES ACTIVOS Y A TODO TRABAJADOR QUE FINALICE LA RELACIÓN LABORAL. EL TIPO DE EXAMEN DEPENDERÁ DE LA MATRIZ DE RIESGO DE LA POSICIÓN QUE OCUPE EL TRABAJADOR</t>
  </si>
  <si>
    <r>
      <t xml:space="preserve">TITULARES  (38.4-A)                                        </t>
    </r>
    <r>
      <rPr>
        <b/>
        <sz val="6"/>
        <color rgb="FF008000"/>
        <rFont val="Segoe UI"/>
        <family val="2"/>
      </rPr>
      <t>(EMPLEADOS, NIÑOS, ADOLESCENTES, DIFUNTOS, RESPONSABLES, VISITANTES, OTROS)</t>
    </r>
  </si>
  <si>
    <t>RELACIÓN CONTRACTUAL + 7 AÑOS</t>
  </si>
  <si>
    <r>
      <t xml:space="preserve">BREVE DESCRIPCION DE LAS MEDIDAS TECNICAS JURIDICAS ADMINISTRATIVAS ORGANIZATIVAS Y FISICAS PARA PROTEGER LOS DATOS                                                                                                             </t>
    </r>
    <r>
      <rPr>
        <b/>
        <sz val="12"/>
        <color rgb="FF008000"/>
        <rFont val="Segoe UI"/>
        <family val="2"/>
      </rPr>
      <t>(Artículo 38 del RGLOPDP + R-005-2026, 15.6)</t>
    </r>
  </si>
  <si>
    <r>
      <t xml:space="preserve">1 DERECHO A LA PRIVACIDAD E INTIMIDAD                                      </t>
    </r>
    <r>
      <rPr>
        <sz val="8"/>
        <color theme="1"/>
        <rFont val="Segoe UI"/>
        <family val="2"/>
      </rPr>
      <t>Garantiza que nadie puede entrometerse en ciertos espacios o aspectos de tu vida sin tu consentimiento, abarca vida personal y familiar, inviolabilidad de domicilio y secreto de las comunicaciones. La triada PDP le otorga el derecho de control y decisión sobre como las organizaciones utilizan los datos del Titular</t>
    </r>
  </si>
  <si>
    <r>
      <t>2 DERECHO A LA VIDA</t>
    </r>
    <r>
      <rPr>
        <sz val="8"/>
        <color theme="1"/>
        <rFont val="Segoe UI"/>
        <family val="2"/>
      </rPr>
      <t xml:space="preserve">                                                                                                Reconoce la existencia de cualquier persona por el simple hecho de estar viva. Es el requisito indispensable para poder disfrutar de todos los demás derechos. Abarca protección contra terceros, el deber de garantizar que nadie, ni otros individuos ni el Estado, atente arbitrariamente contra tu vida. También se debe asegurar las condiciones básicas para el desarrollo humano, como la salud, la alimentación y un entorno seguro.</t>
    </r>
  </si>
  <si>
    <r>
      <t>3 DERECHO A LA SALUD</t>
    </r>
    <r>
      <rPr>
        <sz val="8"/>
        <color theme="1"/>
        <rFont val="Segoe UI"/>
        <family val="2"/>
      </rPr>
      <t xml:space="preserve">                                                                                      Es un derecho inclusivo y comprende un amplio conjunto de factores que pueden contribuir a una vida sana, entre otros, el agua potable salubre, el saneamiento adecuado, la alimentación segura y unas condiciones laborales saludables</t>
    </r>
  </si>
  <si>
    <r>
      <t>4 DERECHO A LA SEGURIDAD SOCIAL</t>
    </r>
    <r>
      <rPr>
        <sz val="8"/>
        <color theme="1"/>
        <rFont val="Segoe UI"/>
        <family val="2"/>
      </rPr>
      <t xml:space="preserve">                                                                               Garantiza a las personas protección contra riesgos e imprevistos sociales, como enfermedad, desempleo, invalidez, vejez o maternidad. Su objetivo es asegurar ingresos y acceso a la salud para mantener una vida digna.</t>
    </r>
  </si>
  <si>
    <r>
      <t>5 DERECHO A LA IDENTIDAD</t>
    </r>
    <r>
      <rPr>
        <sz val="8"/>
        <color theme="1"/>
        <rFont val="Segoe UI"/>
        <family val="2"/>
      </rPr>
      <t xml:space="preserve">                                                                        Garantiza el derecho a tener un nombre, un apellido, una nacionalidad, y la potestad de decidir sobre la conformación de la propia individualidad familiar, cultural, social y de género</t>
    </r>
  </si>
  <si>
    <r>
      <t>6 DERECHO A LA EDUCACIÓN</t>
    </r>
    <r>
      <rPr>
        <sz val="8"/>
        <color theme="1"/>
        <rFont val="Segoe UI"/>
        <family val="2"/>
      </rPr>
      <t xml:space="preserve">                                          Garantiza el acceso a una enseñanza inclusiva, equitativa y de calidad para todas las personas. Es considerado un "derecho multiplicador" porque es esencial para poder ejercer, exigir y disfrutar del resto de derechos humanos</t>
    </r>
  </si>
  <si>
    <r>
      <t>7 DERECHO A NO SER DISCRIMINADO</t>
    </r>
    <r>
      <rPr>
        <sz val="8"/>
        <color theme="1"/>
        <rFont val="Segoe UI"/>
        <family val="2"/>
      </rPr>
      <t xml:space="preserve">                                                                         Garantiza que todas las personas sean tratadas con la misma dignidad y tengan acceso a los mismos derechos y oportunidades. La Constitución de la República prohíbe cualquier forma de exclusión o distinción que busque menoscabar el pleno ejercicio de los derechos de una persona. Dentro de las discriminaciones prohibidas en Ecuador están: Por genero, etnia, religión, ideología política.</t>
    </r>
  </si>
  <si>
    <r>
      <t>8 DERECHO A LA AUTODETERMINACIÓN</t>
    </r>
    <r>
      <rPr>
        <sz val="8"/>
        <color theme="1"/>
        <rFont val="Segoe UI"/>
        <family val="2"/>
      </rPr>
      <t xml:space="preserve">                                                                                                   Reconocido principalmente a favor de las comunidades, pueblos y nacionalidades indígenas. Les garantiza la libertad de decidir su propio destino político, económico, social y cultural, así como el control sobre sus territorios y formas de organización, sin interferencia externa</t>
    </r>
  </si>
  <si>
    <r>
      <t>9 DERECHO A LA LIBERTAD</t>
    </r>
    <r>
      <rPr>
        <sz val="8"/>
        <color theme="1"/>
        <rFont val="Segoe UI"/>
        <family val="2"/>
      </rPr>
      <t xml:space="preserve">                                                                                                 Garantiza el pleno desarrollo de la personalidad de cada individuo sin injerencias arbitrarias. Está consagrado en la Constitución e incluye tanto la libertad física (no ser detenido sin orden legal) como las libertades civiles (expresión, tránsito, conciencia)</t>
    </r>
  </si>
  <si>
    <r>
      <t xml:space="preserve">11 DERECHO A LA INTEGRIDAD MORAL                 </t>
    </r>
    <r>
      <rPr>
        <b/>
        <sz val="8"/>
        <color theme="1"/>
        <rFont val="Segoe UI"/>
        <family val="2"/>
      </rPr>
      <t xml:space="preserve">                                                  </t>
    </r>
    <r>
      <rPr>
        <sz val="8"/>
        <color theme="1"/>
        <rFont val="Segoe UI"/>
        <family val="2"/>
      </rPr>
      <t>Este derecho protege al individuo frente a humillaciones, coacciones para actuar en contra de su conciencia y tratos que menosprecien su estima</t>
    </r>
  </si>
  <si>
    <r>
      <t>10 DERECHO A LA INTEGRIDAD FÍSICA</t>
    </r>
    <r>
      <rPr>
        <sz val="8"/>
        <color theme="1"/>
        <rFont val="Segoe UI"/>
        <family val="2"/>
      </rPr>
      <t xml:space="preserve">                                                                                                        Garantiza el respeto, cuidado y preservación de tu cuerpo y salud. Los ciudadanos no pueden ser víctima de agresiones, lesiones, dolores o sufrimientos corporales. Protege a los ciudadanos de toda forma de violencia y maltrato</t>
    </r>
  </si>
  <si>
    <r>
      <t>12 DERECHO A LA INTEGRIDAD PSIQUICA</t>
    </r>
    <r>
      <rPr>
        <sz val="8"/>
        <color theme="1"/>
        <rFont val="Segoe UI"/>
        <family val="2"/>
      </rPr>
      <t xml:space="preserve">                                                                                         Garantiza el desarrollo de la salud mental y una vida libre de violencia tanto en el ámbito público como privado para conservar intactas y proteger las habilidades emocionales, psicológicas e intelectuales frente a cualquier tipo de agresión o vulneración.</t>
    </r>
  </si>
  <si>
    <t>DOCUMENTACIÓN INEXISTENTE</t>
  </si>
  <si>
    <t>GRC DOCUMENTADO CON PDP INCLUIDO.                              PANSI FASE 1</t>
  </si>
  <si>
    <t>SG-PDP VALIDADO Y EN PRIMER TRIMESTRE OPERATIVO</t>
  </si>
  <si>
    <t xml:space="preserve">  DOCUMENTACIÓN  SIN PDP INCLUIDO</t>
  </si>
  <si>
    <r>
      <t>OPERACIONES DEL TRATAMIENTO</t>
    </r>
    <r>
      <rPr>
        <sz val="8"/>
        <color theme="4"/>
        <rFont val="Segoe UI"/>
        <family val="2"/>
      </rPr>
      <t xml:space="preserve">                                                    ACTIVIDADES REQUERIDAS PARA RECOGER, CONSERVAR, TRANSFERIR, BLOQUEAR, ENCRIPTAR, PSEUDONIMIZAR O DAR TRATAMIENTO A DATOS PERSONALES</t>
    </r>
  </si>
  <si>
    <r>
      <t>MEDIOS DONDE SE REALIZA EL TRATAMIENTO</t>
    </r>
    <r>
      <rPr>
        <sz val="8"/>
        <color theme="4"/>
        <rFont val="Segoe UI"/>
        <family val="2"/>
      </rPr>
      <t xml:space="preserve">                                                    MEDIOS Y DISPOSITIVOS REQUERIDAS Y UTILIZADOS PARA RECOGER, CONSERVAR, TRANSFERIR, BLOQUEAR, ENCRIPTAR, PSEUDONIMIZAR O DAR TRATAMIENTO A DATOS PERSONALES</t>
    </r>
  </si>
  <si>
    <t>CARGA DE DATOS EN PLATAFORMA (PATD ENCARGADO)</t>
  </si>
  <si>
    <t>ENVIO DE LISTADO AL LABORATORIO (PATD RESPONSABLE)</t>
  </si>
  <si>
    <t>ACCESO A LA PLATAFORMA (PATD RESPONSABLE)</t>
  </si>
  <si>
    <t>DESCARGA DE RESULTADOS EN DISCO DURO (PATD RESPONSABLE)</t>
  </si>
  <si>
    <t>TRANSFERENCIA DE DATOS A MÉDICO OCUPACIONAL (PATD RESPONSABLE)</t>
  </si>
  <si>
    <t>RECEPCIÓN DE TRANSFERENCIA DE RESULTADOS (PATD ENCARGADO)</t>
  </si>
  <si>
    <t>CONSERVACIÓN DE RESULTADOS (PATD ENCARGADO)</t>
  </si>
  <si>
    <t>TRANSFERENCIA DE DATOS A TITULAR DE LOS DATOS (PATD RESPONSABLE)</t>
  </si>
  <si>
    <t>La calificación se corresponde a que aún no existe un esquema de protección de datos extendido a los proveedores del servicio (Encargados de tratamiento) ni están especificados en el contrato las condiciones que impone la triada PDP ecuatoriana. El riesgo sobre el derecho a la Salud  NO se ve cmprometido, pero una brecha de datos de categoría especial puede comprometer otros derechos y libertades causando un daño a los titulares de los datos.</t>
  </si>
  <si>
    <t>Si bien son datos de categoría especial una posible brecha no pone en riesgo la vida de ningún Titular ni las condiciones para el desarrollo humano como la salud, alimentación o entorno seguro. Se está trabajando para iniciar el proyecto de adecuación del nivel de seguridad inicial y por ello se califica el nivel de impacto o posible daño como alto por tratarse de datos de categoría especial pero con impacto menor sobre el derecho a la vida digna, pero una brecha de datos de categoría especial puede comprometer otros derechos y libertades causando un daño a los titulares de los datos.</t>
  </si>
  <si>
    <t xml:space="preserve">Los datos están en distintos repositorios (Laboratorio, Correo electronico, Médico ocupacional, Área de recursos humanos, archivo impreso, otros), sin esquema PDP y con bajo nivel de seguridad en PDP (PANSI EN FASE INICIAL). No hay contratos con cláusulas PDP con encargados de tratamiento (Laboratoio y Médico Ocupacional), ni con PATD de TRAUMA ORTOPEDICS). </t>
  </si>
  <si>
    <t>1                                                        MÍNIMO</t>
  </si>
  <si>
    <t>2                                                                  ALTO</t>
  </si>
  <si>
    <t>3                                   GRAVE</t>
  </si>
  <si>
    <t>4                                                    MUY GRAVE</t>
  </si>
  <si>
    <t>ESTADO DE LA TÉCNICA</t>
  </si>
  <si>
    <r>
      <t xml:space="preserve">4                                                  </t>
    </r>
    <r>
      <rPr>
        <b/>
        <sz val="14"/>
        <color rgb="FFF20000"/>
        <rFont val="Segoe UI"/>
        <family val="2"/>
      </rPr>
      <t xml:space="preserve">  MUY PROBABLE</t>
    </r>
  </si>
  <si>
    <t>3                                   MEDIA - ALTA</t>
  </si>
  <si>
    <t>2                                                                  MEDIA - BAJA</t>
  </si>
  <si>
    <t>1                                                        IMPROBABLE</t>
  </si>
  <si>
    <t>RIESGO INHERENTE A LAS OPERACIONES</t>
  </si>
  <si>
    <t>RIESGO INHERENTE A LOS MEDIOS REQUERIDOS Y UTILIZADOS</t>
  </si>
  <si>
    <t>RIESGO RESIDUAL</t>
  </si>
  <si>
    <t>1.	Se debe completar y respetar los compromisos de aplicabilidad del PANSI
2.	Se debe redactar un procedimiento que garantice que de producirse cambios en la operación o en los medios necesarios para el tratamiento se deben respetar las especificaciones actuales de los dispositivos.
3.	Cambios en el entorno seguro que ofrece la ubicación de las oficinas de Trauma Ortopedics deben activar una nueva EIPD
4.	Evitar que por decisiones no informadas se detenga el PANSI</t>
  </si>
  <si>
    <t>CORREO ELECTRÓNICO</t>
  </si>
  <si>
    <t>PLATAFORMA LABORATORIO</t>
  </si>
  <si>
    <t>REPOSITORIO FÍSICO</t>
  </si>
  <si>
    <t>LAPTOP DEL MÉDICO OCUPACIONAL</t>
  </si>
  <si>
    <t>FIREWALL</t>
  </si>
  <si>
    <t>ANTIVIRUS</t>
  </si>
  <si>
    <r>
      <rPr>
        <b/>
        <sz val="14"/>
        <color theme="1"/>
        <rFont val="Segoe UI"/>
        <family val="2"/>
      </rPr>
      <t>CONCLUSIÓN</t>
    </r>
    <r>
      <rPr>
        <sz val="10"/>
        <color theme="1"/>
        <rFont val="Segoe UI"/>
        <family val="2"/>
      </rPr>
      <t>: LAS CONDICIONES DE SEGURIDAD QUE OFRECE LAS OFICINAS REDUCEN LA POSIBILIDAD DE INTRUSIÓN AL ÁREA DONDE ESTA EL DISPOSITIVO QUE CONSERVA LAS IMÁGENES. LAS MEDIDAS DE SEGURIDAD QUE SE LISTAN EN EL PANSI SON SUFICIENTES PARA GARANTIZAR EL NIVEL DE SEGURIDAD ÓPTIMO PARA EVITAR QUE ESTE TRATAMIENTO SEA DE ALTO RIESGO</t>
    </r>
  </si>
  <si>
    <t xml:space="preserve">Los datos están en distintos repositorios (Laboratorio, Correo electronico, Médico ocupacional, Área de recursos humanos, archivo impreso, otros), sin esquema PDP y con bajo nivel de seguridad en PDP (PANSI EN FASE INICIAL). No hay contratos con cláusulas PDP con encargados de tratamiento . </t>
  </si>
  <si>
    <t>Los datos están en distintos repositorios (Laboratorio, Correo electronico, Médico ocupacional, Área de recursos humanos, archivo impreso, otros), sin esquema PDP y con bajo nivel de seguridad en PDP (PANSI EN FASE INICIAL). No hay contratos con cláusulas PDP con encargados de tratamiento (Laboratoio y Médico Ocupacional)</t>
  </si>
  <si>
    <t>Las medidas reforzadas del área JURÍDICA están listadas en el documento de MS.EXCEL: EIPD - MEDICINA OCUPACIONAL - TRAUMA ORTOPEDICS - JUNIO2026.XLS</t>
  </si>
  <si>
    <r>
      <t xml:space="preserve">TRATAMIETOS QUE OBLIGAN LA EIPD
(GRAN ESCALA) 
</t>
    </r>
    <r>
      <rPr>
        <b/>
        <sz val="6"/>
        <color rgb="FF000000"/>
        <rFont val="Segoe UI"/>
        <family val="2"/>
      </rPr>
      <t>(SI NO ELIJA NINGUNO)</t>
    </r>
    <r>
      <rPr>
        <b/>
        <sz val="10"/>
        <color rgb="FF000000"/>
        <rFont val="Segoe UI"/>
        <family val="2"/>
      </rPr>
      <t xml:space="preserve">                                                                                                                                     (R-005-2026, Art. 14)</t>
    </r>
  </si>
  <si>
    <r>
      <t xml:space="preserve">MTGE                                                                               </t>
    </r>
    <r>
      <rPr>
        <b/>
        <sz val="10"/>
        <color rgb="FF000000"/>
        <rFont val="Segoe UI"/>
        <family val="2"/>
      </rPr>
      <t xml:space="preserve"> </t>
    </r>
    <r>
      <rPr>
        <b/>
        <sz val="8"/>
        <color rgb="FF000000"/>
        <rFont val="Segoe UI"/>
        <family val="2"/>
      </rPr>
      <t xml:space="preserve"> (R-005-2026, Art. 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</si>
</sst>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8" x14ac:knownFonts="1">
    <font>
      <sz val="11"/>
      <color theme="1"/>
      <name val="Calibri"/>
      <family val="2"/>
      <scheme val="minor"/>
    </font>
    <font>
      <sz val="10"/>
      <color theme="1"/>
      <name val="Segoe UI"/>
      <family val="2"/>
    </font>
    <font>
      <b/>
      <sz val="16"/>
      <color theme="1"/>
      <name val="Segoe UI"/>
      <family val="2"/>
    </font>
    <font>
      <sz val="14"/>
      <color theme="1"/>
      <name val="Segoe UI"/>
      <family val="2"/>
    </font>
    <font>
      <b/>
      <sz val="10"/>
      <color theme="1"/>
      <name val="Segoe UI"/>
      <family val="2"/>
    </font>
    <font>
      <b/>
      <sz val="16"/>
      <color theme="9" tint="-0.249977111117893"/>
      <name val="Segoe UI"/>
      <family val="2"/>
    </font>
    <font>
      <b/>
      <sz val="14"/>
      <color theme="1"/>
      <name val="Segoe UI"/>
      <family val="2"/>
    </font>
    <font>
      <b/>
      <sz val="16"/>
      <color rgb="FFFF0000"/>
      <name val="Segoe UI"/>
      <family val="2"/>
    </font>
    <font>
      <b/>
      <sz val="12"/>
      <color theme="1"/>
      <name val="Segoe UI"/>
      <family val="2"/>
    </font>
    <font>
      <b/>
      <sz val="12"/>
      <name val="Segoe UI"/>
      <family val="2"/>
    </font>
    <font>
      <b/>
      <sz val="18"/>
      <name val="Segoe UI"/>
      <family val="2"/>
    </font>
    <font>
      <b/>
      <sz val="8"/>
      <color theme="1"/>
      <name val="Segoe UI"/>
      <family val="2"/>
    </font>
    <font>
      <b/>
      <sz val="9"/>
      <color theme="1"/>
      <name val="Segoe UI"/>
      <family val="2"/>
    </font>
    <font>
      <sz val="8"/>
      <color theme="1"/>
      <name val="Segoe UI"/>
      <family val="2"/>
    </font>
    <font>
      <b/>
      <sz val="16"/>
      <color theme="2"/>
      <name val="Segoe UI"/>
      <family val="2"/>
    </font>
    <font>
      <b/>
      <sz val="14"/>
      <color theme="0"/>
      <name val="Segoe UI"/>
      <family val="2"/>
    </font>
    <font>
      <b/>
      <sz val="6"/>
      <color theme="1"/>
      <name val="Segoe UI"/>
      <family val="2"/>
    </font>
    <font>
      <b/>
      <sz val="11"/>
      <color theme="1"/>
      <name val="Calibri"/>
      <family val="2"/>
      <scheme val="minor"/>
    </font>
    <font>
      <b/>
      <sz val="14"/>
      <color theme="4"/>
      <name val="Segoe UI"/>
      <family val="2"/>
    </font>
    <font>
      <sz val="11"/>
      <color rgb="FFFF0000"/>
      <name val="Calibri"/>
      <family val="2"/>
      <scheme val="minor"/>
    </font>
    <font>
      <b/>
      <sz val="18"/>
      <color theme="1"/>
      <name val="Calibri"/>
      <family val="2"/>
      <scheme val="minor"/>
    </font>
    <font>
      <sz val="18"/>
      <color theme="1"/>
      <name val="Calibri"/>
      <family val="2"/>
      <scheme val="minor"/>
    </font>
    <font>
      <sz val="8"/>
      <color theme="1"/>
      <name val="Calibri"/>
      <family val="2"/>
      <scheme val="minor"/>
    </font>
    <font>
      <b/>
      <sz val="16"/>
      <name val="Segoe UI"/>
      <family val="2"/>
    </font>
    <font>
      <b/>
      <sz val="10"/>
      <name val="Segoe UI"/>
      <family val="2"/>
    </font>
    <font>
      <sz val="10"/>
      <name val="Segoe UI"/>
      <family val="2"/>
    </font>
    <font>
      <sz val="11"/>
      <name val="Segoe UI"/>
      <family val="2"/>
    </font>
    <font>
      <sz val="10"/>
      <color rgb="FF008000"/>
      <name val="Segoe UI"/>
      <family val="2"/>
    </font>
    <font>
      <b/>
      <sz val="8"/>
      <color rgb="FF008000"/>
      <name val="Segoe UI"/>
      <family val="2"/>
    </font>
    <font>
      <b/>
      <sz val="10"/>
      <color rgb="FF008000"/>
      <name val="Segoe UI"/>
      <family val="2"/>
    </font>
    <font>
      <sz val="12"/>
      <name val="Segoe UI"/>
      <family val="2"/>
    </font>
    <font>
      <sz val="11"/>
      <color rgb="FF008000"/>
      <name val="Segoe UI"/>
      <family val="2"/>
    </font>
    <font>
      <b/>
      <sz val="12"/>
      <color rgb="FFC00000"/>
      <name val="Segoe UI"/>
      <family val="2"/>
    </font>
    <font>
      <sz val="16"/>
      <name val="Segoe UI"/>
      <family val="2"/>
    </font>
    <font>
      <u/>
      <sz val="11"/>
      <color theme="10"/>
      <name val="Calibri"/>
      <family val="2"/>
      <scheme val="minor"/>
    </font>
    <font>
      <b/>
      <i/>
      <u/>
      <sz val="11"/>
      <color theme="1"/>
      <name val="Calibri"/>
      <family val="2"/>
      <scheme val="minor"/>
    </font>
    <font>
      <sz val="9"/>
      <color indexed="81"/>
      <name val="Tahoma"/>
      <family val="2"/>
    </font>
    <font>
      <b/>
      <sz val="9"/>
      <color indexed="81"/>
      <name val="Tahoma"/>
      <family val="2"/>
    </font>
    <font>
      <sz val="10"/>
      <color theme="1"/>
      <name val="Calibri"/>
      <family val="2"/>
      <scheme val="minor"/>
    </font>
    <font>
      <b/>
      <sz val="11"/>
      <name val="Segoe UI"/>
      <family val="2"/>
    </font>
    <font>
      <b/>
      <sz val="22"/>
      <color theme="1"/>
      <name val="Segoe UI"/>
      <family val="2"/>
    </font>
    <font>
      <sz val="16"/>
      <name val="Bahnschrift"/>
      <family val="2"/>
    </font>
    <font>
      <sz val="12"/>
      <name val="Bahnschrift"/>
      <family val="2"/>
    </font>
    <font>
      <sz val="10"/>
      <name val="Bahnschrift"/>
      <family val="2"/>
    </font>
    <font>
      <b/>
      <sz val="6"/>
      <color rgb="FF008000"/>
      <name val="Segoe UI"/>
      <family val="2"/>
    </font>
    <font>
      <b/>
      <sz val="12"/>
      <color rgb="FF008000"/>
      <name val="Segoe UI"/>
      <family val="2"/>
    </font>
    <font>
      <b/>
      <sz val="10"/>
      <color theme="0"/>
      <name val="Segoe UI"/>
      <family val="2"/>
    </font>
    <font>
      <sz val="8"/>
      <color theme="4"/>
      <name val="Segoe UI"/>
      <family val="2"/>
    </font>
    <font>
      <b/>
      <sz val="18"/>
      <color theme="9"/>
      <name val="Segoe UI"/>
      <family val="2"/>
    </font>
    <font>
      <b/>
      <sz val="18"/>
      <color theme="4"/>
      <name val="Segoe UI"/>
      <family val="2"/>
    </font>
    <font>
      <b/>
      <sz val="18"/>
      <color theme="5"/>
      <name val="Segoe UI"/>
      <family val="2"/>
    </font>
    <font>
      <b/>
      <sz val="18"/>
      <color rgb="FFF20000"/>
      <name val="Segoe UI"/>
      <family val="2"/>
    </font>
    <font>
      <b/>
      <sz val="14"/>
      <color rgb="FFF20000"/>
      <name val="Segoe UI"/>
      <family val="2"/>
    </font>
    <font>
      <b/>
      <sz val="12"/>
      <color theme="4"/>
      <name val="Segoe UI"/>
      <family val="2"/>
    </font>
    <font>
      <sz val="10"/>
      <color rgb="FF000000"/>
      <name val="Segoe UI"/>
      <family val="2"/>
    </font>
    <font>
      <sz val="11"/>
      <color rgb="FF000000"/>
      <name val="Segoe UI"/>
      <family val="2"/>
    </font>
    <font>
      <b/>
      <sz val="10"/>
      <color rgb="FF000000"/>
      <name val="Segoe UI"/>
      <family val="2"/>
    </font>
    <font>
      <b/>
      <sz val="8"/>
      <color rgb="FF000000"/>
      <name val="Segoe UI"/>
      <family val="2"/>
    </font>
    <font>
      <b/>
      <sz val="12"/>
      <color rgb="FF000000"/>
      <name val="Segoe UI"/>
      <family val="2"/>
    </font>
    <font>
      <sz val="8"/>
      <color rgb="FF000000"/>
      <name val="Segoe UI"/>
      <family val="2"/>
    </font>
    <font>
      <sz val="12"/>
      <color rgb="FF000000"/>
      <name val="Segoe UI"/>
      <family val="2"/>
    </font>
    <font>
      <b/>
      <sz val="11"/>
      <color rgb="FFBFBFBF"/>
      <name val="Segoe UI"/>
      <family val="2"/>
    </font>
    <font>
      <b/>
      <sz val="6"/>
      <color rgb="FF000000"/>
      <name val="Segoe UI"/>
      <family val="2"/>
    </font>
    <font>
      <b/>
      <sz val="20"/>
      <color rgb="FF000000"/>
      <name val="Segoe UI"/>
      <family val="2"/>
    </font>
    <font>
      <sz val="14"/>
      <color rgb="FF000000"/>
      <name val="Segoe UI"/>
      <family val="2"/>
    </font>
    <font>
      <b/>
      <sz val="12"/>
      <color rgb="FFBFBFBF"/>
      <name val="Segoe UI"/>
      <family val="2"/>
    </font>
    <font>
      <sz val="18"/>
      <color rgb="FF000000"/>
      <name val="Segoe UI"/>
      <family val="2"/>
    </font>
    <font>
      <u/>
      <sz val="11"/>
      <color rgb="FF0563C1"/>
      <name val="Segoe UI"/>
      <family val="2"/>
    </font>
  </fonts>
  <fills count="11">
    <fill>
      <patternFill patternType="none"/>
    </fill>
    <fill>
      <patternFill patternType="gray125"/>
    </fill>
    <fill>
      <patternFill patternType="solid">
        <fgColor theme="4" tint="0.79998168889431442"/>
        <bgColor indexed="64"/>
      </patternFill>
    </fill>
    <fill>
      <patternFill patternType="solid">
        <fgColor theme="5"/>
        <bgColor indexed="64"/>
      </patternFill>
    </fill>
    <fill>
      <patternFill patternType="solid">
        <fgColor theme="9"/>
        <bgColor indexed="64"/>
      </patternFill>
    </fill>
    <fill>
      <patternFill patternType="solid">
        <fgColor theme="4"/>
        <bgColor indexed="64"/>
      </patternFill>
    </fill>
    <fill>
      <patternFill patternType="solid">
        <fgColor rgb="FFF20000"/>
        <bgColor indexed="64"/>
      </patternFill>
    </fill>
    <fill>
      <patternFill patternType="solid">
        <fgColor rgb="FFB4C6E7"/>
        <bgColor rgb="FF000000"/>
      </patternFill>
    </fill>
    <fill>
      <patternFill patternType="solid">
        <fgColor rgb="FFFFFFFF"/>
        <bgColor rgb="FF000000"/>
      </patternFill>
    </fill>
    <fill>
      <patternFill patternType="solid">
        <fgColor rgb="FFF4B084"/>
        <bgColor rgb="FF000000"/>
      </patternFill>
    </fill>
    <fill>
      <patternFill patternType="solid">
        <fgColor rgb="FFD9E1F2"/>
        <bgColor rgb="FF000000"/>
      </patternFill>
    </fill>
  </fills>
  <borders count="53">
    <border>
      <left/>
      <right/>
      <top/>
      <bottom/>
      <diagonal/>
    </border>
    <border>
      <left/>
      <right/>
      <top/>
      <bottom style="medium">
        <color theme="9" tint="-0.24994659260841701"/>
      </bottom>
      <diagonal/>
    </border>
    <border>
      <left style="dotted">
        <color theme="9" tint="-0.24994659260841701"/>
      </left>
      <right/>
      <top style="medium">
        <color theme="9" tint="-0.24994659260841701"/>
      </top>
      <bottom style="dotted">
        <color theme="9" tint="-0.24994659260841701"/>
      </bottom>
      <diagonal/>
    </border>
    <border>
      <left/>
      <right style="dotted">
        <color theme="9" tint="-0.24994659260841701"/>
      </right>
      <top style="dotted">
        <color theme="9" tint="-0.24994659260841701"/>
      </top>
      <bottom style="dotted">
        <color theme="9" tint="-0.24994659260841701"/>
      </bottom>
      <diagonal/>
    </border>
    <border>
      <left style="dotted">
        <color theme="9" tint="-0.24994659260841701"/>
      </left>
      <right/>
      <top style="dotted">
        <color theme="9" tint="-0.24994659260841701"/>
      </top>
      <bottom style="dotted">
        <color theme="9" tint="-0.24994659260841701"/>
      </bottom>
      <diagonal/>
    </border>
    <border>
      <left style="thin">
        <color indexed="64"/>
      </left>
      <right style="thin">
        <color indexed="64"/>
      </right>
      <top style="thin">
        <color indexed="64"/>
      </top>
      <bottom style="thin">
        <color indexed="64"/>
      </bottom>
      <diagonal/>
    </border>
    <border>
      <left/>
      <right/>
      <top style="medium">
        <color rgb="FF00B050"/>
      </top>
      <bottom style="medium">
        <color rgb="FF00B050"/>
      </bottom>
      <diagonal/>
    </border>
    <border>
      <left style="medium">
        <color theme="9" tint="-0.24994659260841701"/>
      </left>
      <right style="medium">
        <color theme="9" tint="-0.24994659260841701"/>
      </right>
      <top style="medium">
        <color theme="9" tint="-0.24994659260841701"/>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right/>
      <top style="dotted">
        <color theme="9" tint="-0.24994659260841701"/>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rgb="FF00B050"/>
      </bottom>
      <diagonal/>
    </border>
    <border>
      <left/>
      <right style="dotted">
        <color theme="9" tint="-0.24994659260841701"/>
      </right>
      <top style="dotted">
        <color theme="9" tint="-0.24994659260841701"/>
      </top>
      <bottom style="medium">
        <color rgb="FF00B050"/>
      </bottom>
      <diagonal/>
    </border>
    <border>
      <left/>
      <right style="dotted">
        <color theme="9" tint="-0.24994659260841701"/>
      </right>
      <top/>
      <bottom style="dotted">
        <color theme="9" tint="-0.24994659260841701"/>
      </bottom>
      <diagonal/>
    </border>
    <border>
      <left style="dotted">
        <color theme="9" tint="-0.24994659260841701"/>
      </left>
      <right/>
      <top/>
      <bottom style="dotted">
        <color theme="9" tint="-0.24994659260841701"/>
      </bottom>
      <diagonal/>
    </border>
    <border>
      <left style="dotted">
        <color theme="9" tint="-0.24994659260841701"/>
      </left>
      <right style="dotted">
        <color theme="9" tint="-0.24994659260841701"/>
      </right>
      <top/>
      <bottom style="dotted">
        <color theme="9" tint="-0.24994659260841701"/>
      </bottom>
      <diagonal/>
    </border>
    <border>
      <left style="dotted">
        <color theme="9" tint="-0.24994659260841701"/>
      </left>
      <right style="dotted">
        <color theme="9" tint="-0.24994659260841701"/>
      </right>
      <top style="dotted">
        <color theme="9" tint="-0.24994659260841701"/>
      </top>
      <bottom style="dotted">
        <color theme="9" tint="-0.24994659260841701"/>
      </bottom>
      <diagonal/>
    </border>
    <border>
      <left/>
      <right style="thin">
        <color indexed="64"/>
      </right>
      <top/>
      <bottom/>
      <diagonal/>
    </border>
    <border>
      <left/>
      <right/>
      <top style="thin">
        <color indexed="64"/>
      </top>
      <bottom/>
      <diagonal/>
    </border>
    <border>
      <left/>
      <right style="dashDotDot">
        <color rgb="FFA6A6A6"/>
      </right>
      <top style="medium">
        <color indexed="64"/>
      </top>
      <bottom style="medium">
        <color indexed="64"/>
      </bottom>
      <diagonal/>
    </border>
    <border>
      <left style="dashDotDot">
        <color rgb="FFA6A6A6"/>
      </left>
      <right style="dashDotDot">
        <color rgb="FFA6A6A6"/>
      </right>
      <top style="medium">
        <color indexed="64"/>
      </top>
      <bottom style="medium">
        <color indexed="64"/>
      </bottom>
      <diagonal/>
    </border>
    <border>
      <left style="dashDotDot">
        <color rgb="FFA6A6A6"/>
      </left>
      <right/>
      <top style="medium">
        <color indexed="64"/>
      </top>
      <bottom style="medium">
        <color indexed="64"/>
      </bottom>
      <diagonal/>
    </border>
    <border>
      <left/>
      <right style="dashDotDot">
        <color rgb="FFA6A6A6"/>
      </right>
      <top/>
      <bottom style="medium">
        <color indexed="64"/>
      </bottom>
      <diagonal/>
    </border>
    <border>
      <left style="dashDotDot">
        <color rgb="FFA6A6A6"/>
      </left>
      <right style="dashDotDot">
        <color rgb="FFA6A6A6"/>
      </right>
      <top/>
      <bottom style="medium">
        <color indexed="64"/>
      </bottom>
      <diagonal/>
    </border>
    <border>
      <left style="dashDotDot">
        <color rgb="FFA6A6A6"/>
      </left>
      <right/>
      <top/>
      <bottom style="medium">
        <color indexed="64"/>
      </bottom>
      <diagonal/>
    </border>
    <border>
      <left/>
      <right/>
      <top/>
      <bottom style="mediumDashed">
        <color rgb="FFBDD7EE"/>
      </bottom>
      <diagonal/>
    </border>
    <border>
      <left/>
      <right style="mediumDashed">
        <color rgb="FF9BC2E6"/>
      </right>
      <top/>
      <bottom/>
      <diagonal/>
    </border>
    <border>
      <left style="mediumDashed">
        <color rgb="FF9BC2E6"/>
      </left>
      <right style="mediumDashed">
        <color rgb="FF9BC2E6"/>
      </right>
      <top style="medium">
        <color indexed="64"/>
      </top>
      <bottom style="mediumDashed">
        <color rgb="FFBDD7EE"/>
      </bottom>
      <diagonal/>
    </border>
    <border>
      <left/>
      <right style="mediumDashed">
        <color rgb="FFBDD7EE"/>
      </right>
      <top style="medium">
        <color indexed="64"/>
      </top>
      <bottom style="mediumDashed">
        <color rgb="FFBDD7EE"/>
      </bottom>
      <diagonal/>
    </border>
    <border>
      <left style="mediumDashed">
        <color rgb="FFBDD7EE"/>
      </left>
      <right style="mediumDashed">
        <color rgb="FFBDD7EE"/>
      </right>
      <top style="medium">
        <color indexed="64"/>
      </top>
      <bottom style="mediumDashed">
        <color rgb="FFBDD7EE"/>
      </bottom>
      <diagonal/>
    </border>
    <border>
      <left style="mediumDashed">
        <color rgb="FFBDD7EE"/>
      </left>
      <right style="medium">
        <color indexed="64"/>
      </right>
      <top style="medium">
        <color indexed="64"/>
      </top>
      <bottom style="mediumDashed">
        <color rgb="FFBDD7EE"/>
      </bottom>
      <diagonal/>
    </border>
    <border>
      <left/>
      <right style="mediumDashed">
        <color rgb="FFBDD7EE"/>
      </right>
      <top style="mediumDashed">
        <color rgb="FFBDD7EE"/>
      </top>
      <bottom style="mediumDashed">
        <color rgb="FFBDD7EE"/>
      </bottom>
      <diagonal/>
    </border>
    <border>
      <left style="mediumDashed">
        <color rgb="FFBDD7EE"/>
      </left>
      <right style="mediumDashed">
        <color rgb="FFBDD7EE"/>
      </right>
      <top style="mediumDashed">
        <color rgb="FFBDD7EE"/>
      </top>
      <bottom style="mediumDashed">
        <color rgb="FFBDD7EE"/>
      </bottom>
      <diagonal/>
    </border>
    <border>
      <left style="mediumDashed">
        <color rgb="FFBDD7EE"/>
      </left>
      <right style="medium">
        <color indexed="64"/>
      </right>
      <top style="mediumDashed">
        <color rgb="FFBDD7EE"/>
      </top>
      <bottom style="mediumDashed">
        <color rgb="FFBDD7EE"/>
      </bottom>
      <diagonal/>
    </border>
    <border>
      <left style="mediumDashed">
        <color rgb="FF9BC2E6"/>
      </left>
      <right style="mediumDashed">
        <color rgb="FF9BC2E6"/>
      </right>
      <top style="mediumDashed">
        <color rgb="FFBDD7EE"/>
      </top>
      <bottom style="mediumDashed">
        <color rgb="FFBDD7EE"/>
      </bottom>
      <diagonal/>
    </border>
    <border>
      <left style="mediumDashed">
        <color rgb="FF9BC2E6"/>
      </left>
      <right/>
      <top style="mediumDashed">
        <color rgb="FFBDD7EE"/>
      </top>
      <bottom style="mediumDashed">
        <color rgb="FFBDD7EE"/>
      </bottom>
      <diagonal/>
    </border>
    <border>
      <left/>
      <right/>
      <top style="mediumDashed">
        <color rgb="FFBDD7EE"/>
      </top>
      <bottom style="mediumDashed">
        <color rgb="FFBDD7EE"/>
      </bottom>
      <diagonal/>
    </border>
    <border>
      <left/>
      <right style="medium">
        <color indexed="64"/>
      </right>
      <top style="mediumDashed">
        <color rgb="FFBDD7EE"/>
      </top>
      <bottom style="mediumDashed">
        <color rgb="FFBDD7EE"/>
      </bottom>
      <diagonal/>
    </border>
    <border>
      <left/>
      <right style="mediumDashed">
        <color rgb="FFBDD7EE"/>
      </right>
      <top style="mediumDashed">
        <color rgb="FFBDD7EE"/>
      </top>
      <bottom style="medium">
        <color indexed="64"/>
      </bottom>
      <diagonal/>
    </border>
    <border>
      <left style="mediumDashed">
        <color rgb="FFBDD7EE"/>
      </left>
      <right style="medium">
        <color auto="1"/>
      </right>
      <top style="mediumDashed">
        <color rgb="FFBDD7EE"/>
      </top>
      <bottom style="medium">
        <color indexed="64"/>
      </bottom>
      <diagonal/>
    </border>
  </borders>
  <cellStyleXfs count="2">
    <xf numFmtId="0" fontId="0" fillId="0" borderId="0"/>
    <xf numFmtId="0" fontId="34" fillId="0" borderId="0" applyNumberFormat="0" applyFill="0" applyBorder="0" applyAlignment="0" applyProtection="0"/>
  </cellStyleXfs>
  <cellXfs count="192">
    <xf numFmtId="0" fontId="0" fillId="0" borderId="0" xfId="0"/>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2" fillId="0" borderId="1"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vertical="center" wrapText="1"/>
    </xf>
    <xf numFmtId="0" fontId="6" fillId="0" borderId="2" xfId="0" applyFont="1" applyBorder="1" applyAlignment="1">
      <alignment horizontal="center" vertical="center" wrapText="1"/>
    </xf>
    <xf numFmtId="0" fontId="8" fillId="0" borderId="0" xfId="0" applyFont="1" applyAlignment="1">
      <alignment vertical="center" wrapText="1"/>
    </xf>
    <xf numFmtId="0" fontId="9" fillId="0" borderId="0" xfId="0" applyFont="1" applyAlignment="1">
      <alignment horizontal="left" vertical="center" wrapText="1"/>
    </xf>
    <xf numFmtId="0" fontId="7" fillId="0" borderId="0" xfId="0" applyFont="1" applyAlignment="1">
      <alignment horizontal="center" vertical="center" wrapText="1"/>
    </xf>
    <xf numFmtId="0" fontId="10" fillId="0" borderId="0" xfId="0" applyFont="1" applyAlignment="1">
      <alignment horizontal="center" vertical="center" wrapText="1"/>
    </xf>
    <xf numFmtId="0" fontId="6" fillId="0" borderId="0" xfId="0" applyFont="1" applyAlignment="1">
      <alignment horizontal="center" vertical="center" wrapText="1"/>
    </xf>
    <xf numFmtId="0" fontId="2" fillId="0" borderId="1" xfId="0" applyFont="1" applyBorder="1" applyAlignment="1">
      <alignment vertical="center" wrapText="1"/>
    </xf>
    <xf numFmtId="0" fontId="13" fillId="0" borderId="0" xfId="0" applyFont="1" applyAlignment="1">
      <alignment horizontal="center" vertical="center" wrapText="1"/>
    </xf>
    <xf numFmtId="2" fontId="1" fillId="0" borderId="5" xfId="0" applyNumberFormat="1" applyFont="1" applyBorder="1" applyAlignment="1">
      <alignment horizontal="center" vertical="center" wrapText="1"/>
    </xf>
    <xf numFmtId="2" fontId="15" fillId="0" borderId="5" xfId="0" applyNumberFormat="1" applyFont="1" applyBorder="1" applyAlignment="1">
      <alignment horizontal="center" vertical="center" wrapText="1"/>
    </xf>
    <xf numFmtId="0" fontId="4"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4" fillId="0" borderId="0" xfId="0" applyFont="1" applyAlignment="1">
      <alignment vertical="center" wrapText="1"/>
    </xf>
    <xf numFmtId="0" fontId="4" fillId="2" borderId="8" xfId="0" applyFont="1" applyFill="1" applyBorder="1" applyAlignment="1">
      <alignment horizontal="center" vertical="center" wrapText="1"/>
    </xf>
    <xf numFmtId="0" fontId="1" fillId="0" borderId="5" xfId="0" applyFont="1" applyBorder="1" applyAlignment="1">
      <alignment vertical="center" wrapText="1"/>
    </xf>
    <xf numFmtId="2" fontId="1" fillId="0" borderId="8" xfId="0" applyNumberFormat="1" applyFont="1" applyBorder="1" applyAlignment="1">
      <alignment horizontal="center"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12" fillId="0" borderId="9" xfId="0" applyFont="1" applyBorder="1" applyAlignment="1">
      <alignment horizontal="center" vertical="center" wrapText="1"/>
    </xf>
    <xf numFmtId="2" fontId="1" fillId="0" borderId="9" xfId="0" applyNumberFormat="1" applyFont="1" applyBorder="1" applyAlignment="1">
      <alignment horizontal="center" vertical="center" wrapText="1"/>
    </xf>
    <xf numFmtId="0" fontId="1" fillId="0" borderId="4" xfId="0" applyFont="1" applyBorder="1" applyAlignment="1" applyProtection="1">
      <alignment vertical="center" wrapText="1"/>
      <protection locked="0"/>
    </xf>
    <xf numFmtId="0" fontId="2" fillId="0" borderId="5" xfId="0" applyFont="1" applyBorder="1" applyAlignment="1" applyProtection="1">
      <alignment horizontal="center" vertical="center" wrapText="1"/>
      <protection locked="0"/>
    </xf>
    <xf numFmtId="0" fontId="1" fillId="0" borderId="5" xfId="0" applyFont="1" applyBorder="1" applyAlignment="1" applyProtection="1">
      <alignment horizontal="left" vertical="center" wrapText="1"/>
      <protection locked="0"/>
    </xf>
    <xf numFmtId="0" fontId="8" fillId="0" borderId="0" xfId="0" applyFont="1" applyAlignment="1">
      <alignment vertical="center" textRotation="90" wrapText="1"/>
    </xf>
    <xf numFmtId="0" fontId="6" fillId="0" borderId="0" xfId="0" applyFont="1" applyAlignment="1">
      <alignment horizontal="right" vertical="center" wrapText="1"/>
    </xf>
    <xf numFmtId="0" fontId="18" fillId="0" borderId="0" xfId="0" applyFont="1" applyAlignment="1">
      <alignment vertical="center" wrapText="1"/>
    </xf>
    <xf numFmtId="0" fontId="1" fillId="0" borderId="0" xfId="0" applyFont="1" applyAlignment="1" applyProtection="1">
      <alignment vertical="center" wrapText="1"/>
      <protection locked="0"/>
    </xf>
    <xf numFmtId="0" fontId="0" fillId="0" borderId="0" xfId="0" applyAlignment="1">
      <alignment wrapText="1"/>
    </xf>
    <xf numFmtId="0" fontId="17" fillId="0" borderId="5" xfId="0" applyFont="1" applyBorder="1" applyAlignment="1">
      <alignment horizontal="left" vertical="center" wrapText="1"/>
    </xf>
    <xf numFmtId="0" fontId="19" fillId="0" borderId="5" xfId="0" applyFont="1" applyBorder="1" applyAlignment="1">
      <alignment horizontal="center" wrapText="1"/>
    </xf>
    <xf numFmtId="0" fontId="17" fillId="0" borderId="5" xfId="0" applyFont="1" applyBorder="1" applyAlignment="1">
      <alignment wrapText="1"/>
    </xf>
    <xf numFmtId="0" fontId="0" fillId="0" borderId="0" xfId="0" applyAlignment="1">
      <alignment horizontal="center" vertical="center" wrapText="1"/>
    </xf>
    <xf numFmtId="0" fontId="0" fillId="0" borderId="5" xfId="0" applyBorder="1" applyAlignment="1">
      <alignment wrapText="1"/>
    </xf>
    <xf numFmtId="4" fontId="19" fillId="0" borderId="5" xfId="0" applyNumberFormat="1" applyFont="1" applyBorder="1" applyAlignment="1">
      <alignment wrapText="1"/>
    </xf>
    <xf numFmtId="2" fontId="19" fillId="0" borderId="5" xfId="0" applyNumberFormat="1" applyFont="1" applyBorder="1" applyAlignment="1">
      <alignment wrapText="1"/>
    </xf>
    <xf numFmtId="2" fontId="0" fillId="0" borderId="0" xfId="0" applyNumberFormat="1" applyAlignment="1">
      <alignment horizontal="center" vertical="center" wrapText="1"/>
    </xf>
    <xf numFmtId="0" fontId="21" fillId="0" borderId="0" xfId="0" applyFont="1" applyAlignment="1">
      <alignment horizontal="center" vertical="center" wrapText="1"/>
    </xf>
    <xf numFmtId="3" fontId="0" fillId="0" borderId="5" xfId="0" applyNumberFormat="1" applyBorder="1" applyAlignment="1">
      <alignment wrapText="1"/>
    </xf>
    <xf numFmtId="0" fontId="22" fillId="0" borderId="0" xfId="0" applyFont="1" applyAlignment="1">
      <alignment wrapText="1"/>
    </xf>
    <xf numFmtId="0" fontId="24" fillId="0" borderId="19" xfId="0" applyFont="1" applyBorder="1" applyAlignment="1">
      <alignment horizontal="left" vertical="center" wrapText="1"/>
    </xf>
    <xf numFmtId="0" fontId="25" fillId="0" borderId="0" xfId="0" applyFont="1"/>
    <xf numFmtId="0" fontId="26" fillId="0" borderId="0" xfId="0" applyFont="1"/>
    <xf numFmtId="0" fontId="35" fillId="0" borderId="0" xfId="0" applyFont="1" applyAlignment="1">
      <alignment wrapText="1"/>
    </xf>
    <xf numFmtId="0" fontId="13" fillId="0" borderId="3" xfId="0" applyFont="1" applyBorder="1" applyAlignment="1" applyProtection="1">
      <alignment horizontal="left" vertical="center" wrapText="1"/>
      <protection locked="0"/>
    </xf>
    <xf numFmtId="0" fontId="0" fillId="0" borderId="15" xfId="0" applyBorder="1" applyAlignment="1">
      <alignment horizontal="center" vertical="center" wrapText="1"/>
    </xf>
    <xf numFmtId="0" fontId="0" fillId="0" borderId="17" xfId="0" applyBorder="1" applyAlignment="1">
      <alignment horizontal="center" vertical="center" wrapText="1"/>
    </xf>
    <xf numFmtId="0" fontId="0" fillId="0" borderId="20" xfId="0" applyBorder="1" applyAlignment="1">
      <alignment horizontal="center" vertical="center" wrapText="1"/>
    </xf>
    <xf numFmtId="0" fontId="16" fillId="0" borderId="3" xfId="0" applyFont="1" applyBorder="1" applyAlignment="1" applyProtection="1">
      <alignment vertical="center" wrapText="1"/>
      <protection locked="0"/>
    </xf>
    <xf numFmtId="0" fontId="0" fillId="0" borderId="18" xfId="0" applyBorder="1" applyAlignment="1">
      <alignment horizontal="left" vertical="center" wrapText="1"/>
    </xf>
    <xf numFmtId="0" fontId="1" fillId="0" borderId="4" xfId="0" applyFont="1" applyBorder="1" applyAlignment="1" applyProtection="1">
      <alignment horizontal="left" vertical="center" wrapText="1"/>
      <protection locked="0"/>
    </xf>
    <xf numFmtId="0" fontId="0" fillId="0" borderId="0" xfId="0" applyAlignment="1">
      <alignment horizontal="left" vertical="center" wrapText="1"/>
    </xf>
    <xf numFmtId="0" fontId="0" fillId="0" borderId="22" xfId="0" applyBorder="1" applyAlignment="1">
      <alignment wrapText="1"/>
    </xf>
    <xf numFmtId="0" fontId="1" fillId="0" borderId="23" xfId="0" applyFont="1" applyBorder="1" applyAlignment="1">
      <alignment horizontal="center" vertical="center" wrapText="1"/>
    </xf>
    <xf numFmtId="0" fontId="1" fillId="0" borderId="22" xfId="0" applyFont="1" applyBorder="1" applyAlignment="1">
      <alignment horizontal="left" vertical="center" wrapText="1"/>
    </xf>
    <xf numFmtId="0" fontId="1" fillId="0" borderId="22" xfId="0" applyFont="1" applyBorder="1" applyAlignment="1">
      <alignment vertical="center" wrapText="1"/>
    </xf>
    <xf numFmtId="0" fontId="38" fillId="0" borderId="23" xfId="0" applyFont="1" applyBorder="1" applyAlignment="1">
      <alignment horizontal="center" vertical="center" wrapText="1"/>
    </xf>
    <xf numFmtId="0" fontId="8" fillId="0" borderId="24" xfId="0" applyFont="1" applyBorder="1" applyAlignment="1">
      <alignment vertical="center" wrapText="1"/>
    </xf>
    <xf numFmtId="0" fontId="13" fillId="0" borderId="25" xfId="0" applyFont="1" applyBorder="1" applyAlignment="1" applyProtection="1">
      <alignment horizontal="left" vertical="center" wrapText="1"/>
      <protection locked="0"/>
    </xf>
    <xf numFmtId="0" fontId="4" fillId="0" borderId="5" xfId="0" applyFont="1" applyBorder="1" applyAlignment="1" applyProtection="1">
      <alignment horizontal="center" vertical="center" wrapText="1"/>
      <protection locked="0"/>
    </xf>
    <xf numFmtId="0" fontId="8" fillId="0" borderId="5" xfId="0" applyFont="1" applyBorder="1" applyAlignment="1" applyProtection="1">
      <alignment horizontal="center" vertical="center" wrapText="1"/>
      <protection locked="0"/>
    </xf>
    <xf numFmtId="0" fontId="13" fillId="0" borderId="5" xfId="0" applyFont="1" applyBorder="1" applyAlignment="1">
      <alignment horizontal="center" vertical="center" wrapText="1"/>
    </xf>
    <xf numFmtId="0" fontId="13" fillId="0" borderId="5" xfId="0" applyFont="1" applyBorder="1" applyAlignment="1">
      <alignment horizontal="left" vertical="center" wrapText="1"/>
    </xf>
    <xf numFmtId="2" fontId="40" fillId="0" borderId="0" xfId="0" applyNumberFormat="1" applyFont="1" applyAlignment="1">
      <alignment horizontal="left" vertical="center" wrapText="1"/>
    </xf>
    <xf numFmtId="0" fontId="40" fillId="0" borderId="0" xfId="0" applyFont="1" applyAlignment="1">
      <alignment horizontal="center" vertical="center" wrapText="1"/>
    </xf>
    <xf numFmtId="0" fontId="39" fillId="0" borderId="21" xfId="0" applyFont="1" applyBorder="1" applyAlignment="1">
      <alignment horizontal="center" vertical="center" wrapText="1"/>
    </xf>
    <xf numFmtId="0" fontId="32" fillId="0" borderId="5" xfId="0" applyFont="1" applyBorder="1" applyAlignment="1">
      <alignment horizontal="center" vertical="center" wrapText="1"/>
    </xf>
    <xf numFmtId="0" fontId="13" fillId="0" borderId="5" xfId="0" applyFont="1" applyBorder="1" applyAlignment="1" applyProtection="1">
      <alignment horizontal="left" vertical="center" wrapText="1"/>
      <protection locked="0"/>
    </xf>
    <xf numFmtId="0" fontId="6" fillId="0" borderId="27" xfId="0" applyFont="1" applyBorder="1" applyAlignment="1">
      <alignment horizontal="center" vertical="center" wrapText="1"/>
    </xf>
    <xf numFmtId="0" fontId="4" fillId="3" borderId="28" xfId="0" applyFont="1" applyFill="1" applyBorder="1" applyAlignment="1">
      <alignment horizontal="center" vertical="center" wrapText="1"/>
    </xf>
    <xf numFmtId="0" fontId="46" fillId="4" borderId="26" xfId="0" applyFont="1" applyFill="1" applyBorder="1" applyAlignment="1">
      <alignment horizontal="center" vertical="center" wrapText="1"/>
    </xf>
    <xf numFmtId="0" fontId="4" fillId="5" borderId="28" xfId="0" applyFont="1" applyFill="1" applyBorder="1" applyAlignment="1">
      <alignment horizontal="center" vertical="center" wrapText="1"/>
    </xf>
    <xf numFmtId="0" fontId="46" fillId="6" borderId="28" xfId="0" applyFont="1" applyFill="1" applyBorder="1" applyAlignment="1">
      <alignment horizontal="center" vertical="center" wrapText="1"/>
    </xf>
    <xf numFmtId="0" fontId="13" fillId="0" borderId="29" xfId="0" applyFont="1" applyBorder="1" applyAlignment="1" applyProtection="1">
      <alignment horizontal="left" vertical="center" wrapText="1"/>
      <protection locked="0"/>
    </xf>
    <xf numFmtId="0" fontId="48" fillId="0" borderId="3" xfId="0" applyFont="1" applyBorder="1" applyAlignment="1">
      <alignment horizontal="center" vertical="center" wrapText="1"/>
    </xf>
    <xf numFmtId="0" fontId="49" fillId="0" borderId="29" xfId="0" applyFont="1" applyBorder="1" applyAlignment="1">
      <alignment horizontal="center" vertical="center" wrapText="1"/>
    </xf>
    <xf numFmtId="0" fontId="50" fillId="0" borderId="29" xfId="0" applyFont="1" applyBorder="1" applyAlignment="1">
      <alignment horizontal="center" vertical="center" wrapText="1"/>
    </xf>
    <xf numFmtId="0" fontId="51" fillId="0" borderId="29" xfId="0" applyFont="1" applyBorder="1" applyAlignment="1">
      <alignment horizontal="center" vertical="center" wrapText="1"/>
    </xf>
    <xf numFmtId="0" fontId="2" fillId="0" borderId="0" xfId="0" applyFont="1" applyAlignment="1">
      <alignment horizontal="center" vertical="center" textRotation="90" wrapText="1"/>
    </xf>
    <xf numFmtId="0" fontId="1" fillId="0" borderId="31" xfId="0" applyFont="1" applyBorder="1" applyAlignment="1">
      <alignment vertical="center" wrapText="1"/>
    </xf>
    <xf numFmtId="0" fontId="13" fillId="0" borderId="31" xfId="0" applyFont="1" applyBorder="1" applyAlignment="1">
      <alignment horizontal="center" vertical="center" wrapText="1"/>
    </xf>
    <xf numFmtId="2" fontId="1" fillId="0" borderId="31" xfId="0" applyNumberFormat="1" applyFont="1" applyBorder="1" applyAlignment="1">
      <alignment horizontal="center" vertical="center" wrapText="1"/>
    </xf>
    <xf numFmtId="2" fontId="1" fillId="0" borderId="0" xfId="0" applyNumberFormat="1" applyFont="1" applyBorder="1" applyAlignment="1">
      <alignment horizontal="center" vertical="center" wrapText="1"/>
    </xf>
    <xf numFmtId="0" fontId="1" fillId="0" borderId="0" xfId="0" applyFont="1" applyBorder="1" applyAlignment="1">
      <alignment horizontal="left" vertical="center" wrapText="1"/>
    </xf>
    <xf numFmtId="0" fontId="1" fillId="0" borderId="31" xfId="0" applyFont="1" applyBorder="1" applyAlignment="1" applyProtection="1">
      <alignment horizontal="left" vertical="center" wrapText="1"/>
      <protection locked="0"/>
    </xf>
    <xf numFmtId="0" fontId="1" fillId="0" borderId="10" xfId="0" applyFont="1" applyBorder="1" applyAlignment="1">
      <alignment vertical="center" wrapText="1"/>
    </xf>
    <xf numFmtId="0" fontId="1" fillId="0" borderId="9" xfId="0" applyFont="1" applyBorder="1" applyAlignment="1">
      <alignment vertical="center" wrapText="1"/>
    </xf>
    <xf numFmtId="0" fontId="1" fillId="0" borderId="11" xfId="0" applyFont="1" applyBorder="1" applyAlignment="1">
      <alignment vertical="center" wrapText="1"/>
    </xf>
    <xf numFmtId="0" fontId="1" fillId="0" borderId="0" xfId="0" applyFont="1" applyBorder="1" applyAlignment="1">
      <alignment vertical="center" wrapText="1"/>
    </xf>
    <xf numFmtId="0" fontId="53" fillId="0" borderId="0" xfId="0" applyFont="1" applyAlignment="1">
      <alignment vertical="center" wrapText="1"/>
    </xf>
    <xf numFmtId="0" fontId="2" fillId="0" borderId="5" xfId="0" applyFont="1" applyBorder="1" applyAlignment="1" applyProtection="1">
      <alignment horizontal="center" vertical="center" wrapText="1"/>
    </xf>
    <xf numFmtId="0" fontId="6" fillId="0" borderId="5" xfId="0" applyFont="1" applyBorder="1" applyAlignment="1" applyProtection="1">
      <alignment horizontal="center" vertical="center" wrapText="1"/>
    </xf>
    <xf numFmtId="0" fontId="6" fillId="0" borderId="5" xfId="0" applyFont="1" applyBorder="1" applyAlignment="1" applyProtection="1">
      <alignment horizontal="left" vertical="center" wrapText="1"/>
    </xf>
    <xf numFmtId="0" fontId="8" fillId="0" borderId="5" xfId="0" applyFont="1" applyBorder="1" applyAlignment="1" applyProtection="1">
      <alignment horizontal="left" vertical="center" wrapText="1"/>
    </xf>
    <xf numFmtId="0" fontId="6" fillId="0" borderId="27" xfId="0" applyFont="1" applyBorder="1" applyAlignment="1" applyProtection="1">
      <alignment horizontal="center" vertical="center" wrapText="1"/>
      <protection locked="0"/>
    </xf>
    <xf numFmtId="0" fontId="54" fillId="0" borderId="0" xfId="0" applyFont="1"/>
    <xf numFmtId="0" fontId="55" fillId="0" borderId="0" xfId="0" applyFont="1"/>
    <xf numFmtId="0" fontId="56" fillId="0" borderId="0" xfId="0" applyFont="1" applyAlignment="1">
      <alignment horizontal="left" vertical="center" wrapText="1"/>
    </xf>
    <xf numFmtId="0" fontId="56" fillId="0" borderId="19" xfId="0" applyFont="1" applyBorder="1" applyAlignment="1">
      <alignment horizontal="left" vertical="center" wrapText="1"/>
    </xf>
    <xf numFmtId="0" fontId="57" fillId="0" borderId="32" xfId="0" applyFont="1" applyBorder="1" applyAlignment="1">
      <alignment vertical="center" wrapText="1"/>
    </xf>
    <xf numFmtId="0" fontId="24" fillId="0" borderId="33" xfId="0" applyFont="1" applyBorder="1" applyAlignment="1">
      <alignment vertical="center"/>
    </xf>
    <xf numFmtId="0" fontId="24" fillId="0" borderId="33" xfId="0" applyFont="1" applyBorder="1" applyAlignment="1">
      <alignment vertical="center" wrapText="1"/>
    </xf>
    <xf numFmtId="0" fontId="24" fillId="0" borderId="34" xfId="0" applyFont="1" applyBorder="1" applyAlignment="1">
      <alignment horizontal="center" vertical="center" wrapText="1"/>
    </xf>
    <xf numFmtId="0" fontId="56" fillId="0" borderId="19" xfId="0" applyFont="1" applyBorder="1" applyAlignment="1">
      <alignment vertical="center" wrapText="1"/>
    </xf>
    <xf numFmtId="0" fontId="56" fillId="7" borderId="5" xfId="0" applyFont="1" applyFill="1" applyBorder="1" applyAlignment="1">
      <alignment horizontal="left" vertical="center" wrapText="1"/>
    </xf>
    <xf numFmtId="0" fontId="56" fillId="0" borderId="35" xfId="0" applyFont="1" applyBorder="1" applyAlignment="1">
      <alignment horizontal="left" vertical="center" wrapText="1"/>
    </xf>
    <xf numFmtId="0" fontId="56" fillId="0" borderId="36" xfId="0" applyFont="1" applyBorder="1" applyAlignment="1">
      <alignment horizontal="left" vertical="center" wrapText="1"/>
    </xf>
    <xf numFmtId="0" fontId="56" fillId="0" borderId="37" xfId="0" applyFont="1" applyBorder="1" applyAlignment="1">
      <alignment horizontal="left" vertical="center" wrapText="1"/>
    </xf>
    <xf numFmtId="0" fontId="27" fillId="0" borderId="39" xfId="0" applyFont="1" applyBorder="1"/>
    <xf numFmtId="0" fontId="28" fillId="0" borderId="40" xfId="0" applyFont="1" applyBorder="1" applyAlignment="1">
      <alignment horizontal="center" vertical="center" wrapText="1"/>
    </xf>
    <xf numFmtId="0" fontId="28" fillId="0" borderId="41" xfId="0" applyFont="1" applyBorder="1" applyAlignment="1">
      <alignment horizontal="center" vertical="center" wrapText="1"/>
    </xf>
    <xf numFmtId="0" fontId="28" fillId="0" borderId="42" xfId="0" applyFont="1" applyBorder="1" applyAlignment="1">
      <alignment horizontal="center" vertical="center" wrapText="1"/>
    </xf>
    <xf numFmtId="0" fontId="28" fillId="0" borderId="43" xfId="0" applyFont="1" applyBorder="1" applyAlignment="1">
      <alignment horizontal="center" vertical="center" wrapText="1"/>
    </xf>
    <xf numFmtId="0" fontId="56" fillId="7" borderId="5" xfId="0" applyFont="1" applyFill="1" applyBorder="1" applyAlignment="1">
      <alignment horizontal="center" vertical="center" wrapText="1"/>
    </xf>
    <xf numFmtId="0" fontId="29" fillId="0" borderId="44" xfId="0" applyFont="1" applyBorder="1" applyAlignment="1">
      <alignment horizontal="center" vertical="center" wrapText="1"/>
    </xf>
    <xf numFmtId="0" fontId="29" fillId="0" borderId="45" xfId="0" applyFont="1" applyBorder="1" applyAlignment="1">
      <alignment horizontal="center" vertical="center" wrapText="1"/>
    </xf>
    <xf numFmtId="0" fontId="29" fillId="0" borderId="46" xfId="0" applyFont="1" applyBorder="1" applyAlignment="1">
      <alignment horizontal="center" vertical="center" wrapText="1"/>
    </xf>
    <xf numFmtId="0" fontId="54" fillId="0" borderId="0" xfId="0" applyFont="1" applyAlignment="1">
      <alignment horizontal="left" vertical="center" wrapText="1"/>
    </xf>
    <xf numFmtId="0" fontId="27" fillId="0" borderId="39" xfId="0" applyFont="1" applyBorder="1" applyAlignment="1">
      <alignment horizontal="left" vertical="center" wrapText="1"/>
    </xf>
    <xf numFmtId="0" fontId="41" fillId="0" borderId="47" xfId="0" applyFont="1" applyBorder="1" applyAlignment="1">
      <alignment horizontal="center" vertical="center" wrapText="1"/>
    </xf>
    <xf numFmtId="0" fontId="42" fillId="0" borderId="44" xfId="0" applyFont="1" applyBorder="1" applyAlignment="1">
      <alignment horizontal="left" vertical="center" wrapText="1"/>
    </xf>
    <xf numFmtId="0" fontId="43" fillId="8" borderId="45" xfId="0" applyFont="1" applyFill="1" applyBorder="1" applyAlignment="1">
      <alignment horizontal="center" vertical="center" wrapText="1"/>
    </xf>
    <xf numFmtId="0" fontId="25" fillId="0" borderId="45" xfId="0" applyFont="1" applyBorder="1" applyAlignment="1">
      <alignment horizontal="left" vertical="center" wrapText="1"/>
    </xf>
    <xf numFmtId="0" fontId="30" fillId="0" borderId="46" xfId="0" applyFont="1" applyBorder="1" applyAlignment="1">
      <alignment horizontal="center" vertical="center" wrapText="1"/>
    </xf>
    <xf numFmtId="0" fontId="59" fillId="0" borderId="0" xfId="0" applyFont="1" applyAlignment="1">
      <alignment horizontal="left" vertical="center" wrapText="1"/>
    </xf>
    <xf numFmtId="0" fontId="59" fillId="0" borderId="5" xfId="0" applyFont="1" applyBorder="1" applyAlignment="1">
      <alignment horizontal="left" vertical="center" wrapText="1"/>
    </xf>
    <xf numFmtId="0" fontId="60" fillId="0" borderId="5" xfId="0" applyFont="1" applyBorder="1" applyAlignment="1">
      <alignment horizontal="center" vertical="center" wrapText="1"/>
    </xf>
    <xf numFmtId="0" fontId="60" fillId="0" borderId="5" xfId="0" applyFont="1" applyBorder="1" applyAlignment="1">
      <alignment horizontal="left" vertical="center" wrapText="1"/>
    </xf>
    <xf numFmtId="0" fontId="61" fillId="0" borderId="5" xfId="0" applyFont="1" applyBorder="1" applyAlignment="1">
      <alignment horizontal="left" vertical="center" wrapText="1"/>
    </xf>
    <xf numFmtId="0" fontId="28" fillId="0" borderId="47" xfId="0" applyFont="1" applyBorder="1" applyAlignment="1">
      <alignment horizontal="left" vertical="center" wrapText="1"/>
    </xf>
    <xf numFmtId="0" fontId="28" fillId="0" borderId="44" xfId="0" applyFont="1" applyBorder="1" applyAlignment="1">
      <alignment horizontal="center" vertical="center" wrapText="1"/>
    </xf>
    <xf numFmtId="0" fontId="28" fillId="0" borderId="45" xfId="0" applyFont="1" applyBorder="1" applyAlignment="1">
      <alignment horizontal="center" vertical="center" wrapText="1"/>
    </xf>
    <xf numFmtId="0" fontId="28" fillId="0" borderId="46" xfId="0" applyFont="1" applyBorder="1" applyAlignment="1">
      <alignment horizontal="center" vertical="center" wrapText="1"/>
    </xf>
    <xf numFmtId="0" fontId="54" fillId="0" borderId="0" xfId="0" applyFont="1" applyAlignment="1">
      <alignment horizontal="left" wrapText="1"/>
    </xf>
    <xf numFmtId="0" fontId="30" fillId="0" borderId="47" xfId="0" applyFont="1" applyBorder="1" applyAlignment="1">
      <alignment horizontal="center" vertical="center" wrapText="1"/>
    </xf>
    <xf numFmtId="0" fontId="30" fillId="0" borderId="44" xfId="0" applyFont="1" applyBorder="1" applyAlignment="1">
      <alignment horizontal="center" vertical="center" wrapText="1"/>
    </xf>
    <xf numFmtId="0" fontId="30" fillId="0" borderId="45" xfId="0" applyFont="1" applyBorder="1" applyAlignment="1">
      <alignment horizontal="center" vertical="center" wrapText="1"/>
    </xf>
    <xf numFmtId="0" fontId="56" fillId="9" borderId="5" xfId="0" applyFont="1" applyFill="1" applyBorder="1" applyAlignment="1">
      <alignment horizontal="center" vertical="center" wrapText="1"/>
    </xf>
    <xf numFmtId="0" fontId="63" fillId="9" borderId="5" xfId="0" applyFont="1" applyFill="1" applyBorder="1" applyAlignment="1">
      <alignment horizontal="center" vertical="center" wrapText="1"/>
    </xf>
    <xf numFmtId="0" fontId="31" fillId="10" borderId="47" xfId="0" applyFont="1" applyFill="1" applyBorder="1" applyAlignment="1">
      <alignment horizontal="center"/>
    </xf>
    <xf numFmtId="0" fontId="58" fillId="0" borderId="5" xfId="0" applyFont="1" applyBorder="1" applyAlignment="1">
      <alignment horizontal="center" vertical="center" wrapText="1"/>
    </xf>
    <xf numFmtId="164" fontId="63" fillId="0" borderId="5" xfId="0" applyNumberFormat="1" applyFont="1" applyBorder="1" applyAlignment="1">
      <alignment horizontal="center" vertical="center" wrapText="1"/>
    </xf>
    <xf numFmtId="164" fontId="58" fillId="0" borderId="5" xfId="0" applyNumberFormat="1" applyFont="1" applyBorder="1" applyAlignment="1">
      <alignment horizontal="center" vertical="center" wrapText="1"/>
    </xf>
    <xf numFmtId="0" fontId="28" fillId="0" borderId="47" xfId="0" applyFont="1" applyBorder="1" applyAlignment="1">
      <alignment horizontal="center" vertical="center" wrapText="1"/>
    </xf>
    <xf numFmtId="0" fontId="54" fillId="0" borderId="0" xfId="0" applyFont="1" applyAlignment="1">
      <alignment horizontal="center" vertical="center" wrapText="1"/>
    </xf>
    <xf numFmtId="0" fontId="64" fillId="0" borderId="0" xfId="0" applyFont="1" applyAlignment="1">
      <alignment horizontal="center" vertical="center" wrapText="1"/>
    </xf>
    <xf numFmtId="0" fontId="33" fillId="0" borderId="51" xfId="0" applyFont="1" applyBorder="1" applyAlignment="1">
      <alignment horizontal="center" vertical="center" wrapText="1"/>
    </xf>
    <xf numFmtId="0" fontId="65" fillId="0" borderId="51" xfId="0" applyFont="1" applyBorder="1" applyAlignment="1">
      <alignment horizontal="left" vertical="center" wrapText="1"/>
    </xf>
    <xf numFmtId="0" fontId="65" fillId="0" borderId="52" xfId="0" applyFont="1" applyBorder="1" applyAlignment="1">
      <alignment horizontal="left" vertical="center" wrapText="1"/>
    </xf>
    <xf numFmtId="0" fontId="66" fillId="0" borderId="0" xfId="0" applyFont="1" applyAlignment="1">
      <alignment horizontal="center" vertical="center" wrapText="1"/>
    </xf>
    <xf numFmtId="0" fontId="67" fillId="0" borderId="0" xfId="1" applyFont="1" applyFill="1" applyBorder="1" applyAlignment="1">
      <alignment horizontal="left" vertical="center" wrapText="1"/>
    </xf>
    <xf numFmtId="0" fontId="54" fillId="0" borderId="0" xfId="0" applyFont="1" applyAlignment="1">
      <alignment horizontal="center" wrapText="1"/>
    </xf>
    <xf numFmtId="0" fontId="0" fillId="0" borderId="22" xfId="0" applyBorder="1" applyAlignment="1">
      <alignment horizontal="center" vertical="center" wrapText="1"/>
    </xf>
    <xf numFmtId="0" fontId="0" fillId="0" borderId="21" xfId="0" applyBorder="1" applyAlignment="1">
      <alignment horizontal="center" vertical="center" wrapText="1"/>
    </xf>
    <xf numFmtId="0" fontId="0" fillId="0" borderId="23" xfId="0" applyBorder="1" applyAlignment="1">
      <alignment horizontal="center" vertical="center" wrapText="1"/>
    </xf>
    <xf numFmtId="0" fontId="20" fillId="0" borderId="0" xfId="0" applyFont="1" applyAlignment="1">
      <alignment horizontal="center" wrapText="1"/>
    </xf>
    <xf numFmtId="0" fontId="23" fillId="0" borderId="21" xfId="0" applyFont="1" applyBorder="1" applyAlignment="1">
      <alignment horizontal="center" vertical="center" wrapText="1"/>
    </xf>
    <xf numFmtId="0" fontId="58" fillId="7" borderId="38" xfId="0" applyFont="1" applyFill="1" applyBorder="1" applyAlignment="1">
      <alignment horizontal="center" vertical="center" wrapText="1"/>
    </xf>
    <xf numFmtId="0" fontId="29" fillId="0" borderId="48" xfId="0" applyFont="1" applyBorder="1" applyAlignment="1">
      <alignment horizontal="center" vertical="center" wrapText="1"/>
    </xf>
    <xf numFmtId="0" fontId="29" fillId="0" borderId="49" xfId="0" applyFont="1" applyBorder="1" applyAlignment="1">
      <alignment horizontal="center" vertical="center" wrapText="1"/>
    </xf>
    <xf numFmtId="0" fontId="29" fillId="0" borderId="50" xfId="0" applyFont="1" applyBorder="1" applyAlignment="1">
      <alignment horizontal="center" vertical="center" wrapText="1"/>
    </xf>
    <xf numFmtId="0" fontId="56" fillId="0" borderId="16" xfId="0" applyFont="1" applyBorder="1" applyAlignment="1">
      <alignment horizontal="center" vertical="center"/>
    </xf>
    <xf numFmtId="0" fontId="56" fillId="0" borderId="0" xfId="0" applyFont="1" applyAlignment="1">
      <alignment horizontal="center" vertical="center" wrapText="1"/>
    </xf>
    <xf numFmtId="0" fontId="56" fillId="7" borderId="14"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horizontal="center" vertical="center" textRotation="90" wrapText="1"/>
    </xf>
    <xf numFmtId="2" fontId="6" fillId="0" borderId="13" xfId="0" applyNumberFormat="1" applyFont="1" applyBorder="1" applyAlignment="1">
      <alignment horizontal="right" vertical="center" wrapText="1"/>
    </xf>
    <xf numFmtId="0" fontId="23" fillId="0" borderId="12" xfId="0" applyFont="1" applyBorder="1" applyAlignment="1">
      <alignment horizontal="center" wrapText="1"/>
    </xf>
    <xf numFmtId="0" fontId="14" fillId="0" borderId="0" xfId="0" applyFont="1" applyAlignment="1">
      <alignment horizontal="center" wrapText="1"/>
    </xf>
    <xf numFmtId="0" fontId="14" fillId="0" borderId="30" xfId="0" applyFont="1" applyBorder="1" applyAlignment="1">
      <alignment horizont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23" fillId="0" borderId="0" xfId="0" applyFont="1" applyAlignment="1">
      <alignment horizontal="center" wrapText="1"/>
    </xf>
    <xf numFmtId="0" fontId="23" fillId="0" borderId="30" xfId="0" applyFont="1" applyBorder="1" applyAlignment="1">
      <alignment horizontal="center" wrapText="1"/>
    </xf>
    <xf numFmtId="0" fontId="1" fillId="0" borderId="0" xfId="0" applyFont="1" applyAlignment="1">
      <alignment horizontal="center" vertical="center" wrapText="1"/>
    </xf>
    <xf numFmtId="0" fontId="1" fillId="0" borderId="0" xfId="0" applyFont="1" applyAlignment="1" applyProtection="1">
      <alignment horizontal="left" vertical="center" wrapText="1"/>
      <protection locked="0"/>
    </xf>
    <xf numFmtId="0" fontId="18" fillId="0" borderId="0" xfId="0" applyFont="1" applyAlignment="1">
      <alignment horizontal="center" vertical="center" wrapText="1"/>
    </xf>
    <xf numFmtId="0" fontId="1" fillId="0" borderId="0" xfId="0" applyFont="1" applyAlignment="1" applyProtection="1">
      <alignment horizontal="left" vertical="top" wrapText="1"/>
      <protection locked="0"/>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1" fillId="0" borderId="5" xfId="0" applyFont="1" applyBorder="1" applyAlignment="1">
      <alignment horizontal="center" vertical="center" wrapText="1"/>
    </xf>
  </cellXfs>
  <cellStyles count="2">
    <cellStyle name="Hipervínculo" xfId="1" builtinId="8"/>
    <cellStyle name="Normal" xfId="0" builtinId="0"/>
  </cellStyles>
  <dxfs count="4">
    <dxf>
      <fill>
        <patternFill>
          <bgColor rgb="FF92D050"/>
        </patternFill>
      </fill>
    </dxf>
    <dxf>
      <fill>
        <patternFill>
          <bgColor rgb="FF0070C0"/>
        </patternFill>
      </fill>
    </dxf>
    <dxf>
      <fill>
        <patternFill>
          <bgColor rgb="FFFFC000"/>
        </patternFill>
      </fill>
    </dxf>
    <dxf>
      <fill>
        <patternFill>
          <bgColor rgb="FFFF0000"/>
        </patternFill>
      </fill>
    </dxf>
  </dxfs>
  <tableStyles count="0" defaultTableStyle="TableStyleMedium2" defaultPivotStyle="PivotStyleLight16"/>
  <colors>
    <mruColors>
      <color rgb="FFF2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externalLink" Target="externalLinks/externalLink1.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g" /></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 /><Relationship Id="rId1" Type="http://schemas.openxmlformats.org/officeDocument/2006/relationships/image" Target="../media/image2.jpg" /></Relationships>
</file>

<file path=xl/drawings/_rels/drawing3.xml.rels><?xml version="1.0" encoding="UTF-8" standalone="yes"?>
<Relationships xmlns="http://schemas.openxmlformats.org/package/2006/relationships"><Relationship Id="rId2" Type="http://schemas.openxmlformats.org/officeDocument/2006/relationships/image" Target="../media/image5.jpg" /><Relationship Id="rId1" Type="http://schemas.openxmlformats.org/officeDocument/2006/relationships/image" Target="../media/image4.jpeg" /></Relationships>
</file>

<file path=xl/drawings/drawing1.xml><?xml version="1.0" encoding="utf-8"?>
<xdr:wsDr xmlns:xdr="http://schemas.openxmlformats.org/drawingml/2006/spreadsheetDrawing" xmlns:a="http://schemas.openxmlformats.org/drawingml/2006/main">
  <xdr:twoCellAnchor>
    <xdr:from>
      <xdr:col>62</xdr:col>
      <xdr:colOff>1761</xdr:colOff>
      <xdr:row>9</xdr:row>
      <xdr:rowOff>470415</xdr:rowOff>
    </xdr:from>
    <xdr:to>
      <xdr:col>62</xdr:col>
      <xdr:colOff>10584</xdr:colOff>
      <xdr:row>10</xdr:row>
      <xdr:rowOff>0</xdr:rowOff>
    </xdr:to>
    <xdr:cxnSp macro="">
      <xdr:nvCxnSpPr>
        <xdr:cNvPr id="2" name="Conector recto de flecha 1">
          <a:extLst>
            <a:ext uri="{FF2B5EF4-FFF2-40B4-BE49-F238E27FC236}">
              <a16:creationId xmlns:a16="http://schemas.microsoft.com/office/drawing/2014/main" id="{E9CD43BC-BB64-4D9D-A882-3982675B62DB}"/>
            </a:ext>
          </a:extLst>
        </xdr:cNvPr>
        <xdr:cNvCxnSpPr/>
      </xdr:nvCxnSpPr>
      <xdr:spPr>
        <a:xfrm flipV="1">
          <a:off x="83311221" y="4882395"/>
          <a:ext cx="8823" cy="62985"/>
        </a:xfrm>
        <a:prstGeom prst="straightConnector1">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770118</xdr:colOff>
      <xdr:row>2</xdr:row>
      <xdr:rowOff>270671</xdr:rowOff>
    </xdr:from>
    <xdr:to>
      <xdr:col>6</xdr:col>
      <xdr:colOff>1183948</xdr:colOff>
      <xdr:row>5</xdr:row>
      <xdr:rowOff>159609</xdr:rowOff>
    </xdr:to>
    <xdr:pic>
      <xdr:nvPicPr>
        <xdr:cNvPr id="12" name="Imagen 11">
          <a:extLst>
            <a:ext uri="{FF2B5EF4-FFF2-40B4-BE49-F238E27FC236}">
              <a16:creationId xmlns:a16="http://schemas.microsoft.com/office/drawing/2014/main" id="{2F308409-E056-1FDC-8C5B-0796E0BFF2A7}"/>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4384175" y="1337471"/>
          <a:ext cx="5475687" cy="17830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57</xdr:col>
      <xdr:colOff>1761</xdr:colOff>
      <xdr:row>9</xdr:row>
      <xdr:rowOff>470415</xdr:rowOff>
    </xdr:from>
    <xdr:to>
      <xdr:col>57</xdr:col>
      <xdr:colOff>10584</xdr:colOff>
      <xdr:row>10</xdr:row>
      <xdr:rowOff>0</xdr:rowOff>
    </xdr:to>
    <xdr:cxnSp macro="">
      <xdr:nvCxnSpPr>
        <xdr:cNvPr id="3" name="Conector recto de flecha 2">
          <a:extLst>
            <a:ext uri="{FF2B5EF4-FFF2-40B4-BE49-F238E27FC236}">
              <a16:creationId xmlns:a16="http://schemas.microsoft.com/office/drawing/2014/main" id="{FA099803-E926-49A9-ABE0-1EA368C8910F}"/>
            </a:ext>
          </a:extLst>
        </xdr:cNvPr>
        <xdr:cNvCxnSpPr/>
      </xdr:nvCxnSpPr>
      <xdr:spPr>
        <a:xfrm flipV="1">
          <a:off x="83897961" y="4722375"/>
          <a:ext cx="8823" cy="62985"/>
        </a:xfrm>
        <a:prstGeom prst="straightConnector1">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653143</xdr:colOff>
      <xdr:row>2</xdr:row>
      <xdr:rowOff>320353</xdr:rowOff>
    </xdr:from>
    <xdr:to>
      <xdr:col>6</xdr:col>
      <xdr:colOff>1119674</xdr:colOff>
      <xdr:row>5</xdr:row>
      <xdr:rowOff>271071</xdr:rowOff>
    </xdr:to>
    <xdr:pic>
      <xdr:nvPicPr>
        <xdr:cNvPr id="5" name="Imagen 4">
          <a:extLst>
            <a:ext uri="{FF2B5EF4-FFF2-40B4-BE49-F238E27FC236}">
              <a16:creationId xmlns:a16="http://schemas.microsoft.com/office/drawing/2014/main" id="{5834E361-A591-1AB3-397B-A7C91156F078}"/>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4268755" y="1385598"/>
          <a:ext cx="5878286" cy="1840167"/>
        </a:xfrm>
        <a:prstGeom prst="rect">
          <a:avLst/>
        </a:prstGeom>
      </xdr:spPr>
    </xdr:pic>
    <xdr:clientData/>
  </xdr:twoCellAnchor>
  <xdr:twoCellAnchor editAs="oneCell">
    <xdr:from>
      <xdr:col>6</xdr:col>
      <xdr:colOff>590940</xdr:colOff>
      <xdr:row>2</xdr:row>
      <xdr:rowOff>45040</xdr:rowOff>
    </xdr:from>
    <xdr:to>
      <xdr:col>6</xdr:col>
      <xdr:colOff>1787630</xdr:colOff>
      <xdr:row>3</xdr:row>
      <xdr:rowOff>485934</xdr:rowOff>
    </xdr:to>
    <xdr:pic>
      <xdr:nvPicPr>
        <xdr:cNvPr id="7" name="Imagen 6">
          <a:extLst>
            <a:ext uri="{FF2B5EF4-FFF2-40B4-BE49-F238E27FC236}">
              <a16:creationId xmlns:a16="http://schemas.microsoft.com/office/drawing/2014/main" id="{C5AF36BD-EBEC-CE7D-ADEA-3AF0250F5887}"/>
            </a:ext>
          </a:extLst>
        </xdr:cNvPr>
        <xdr:cNvPicPr>
          <a:picLocks noChangeAspect="1"/>
        </xdr:cNvPicPr>
      </xdr:nvPicPr>
      <xdr:blipFill>
        <a:blip xmlns:r="http://schemas.openxmlformats.org/officeDocument/2006/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9618307" y="1110285"/>
          <a:ext cx="1196690" cy="107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0</xdr:colOff>
      <xdr:row>30</xdr:row>
      <xdr:rowOff>0</xdr:rowOff>
    </xdr:from>
    <xdr:to>
      <xdr:col>15</xdr:col>
      <xdr:colOff>304800</xdr:colOff>
      <xdr:row>31</xdr:row>
      <xdr:rowOff>114300</xdr:rowOff>
    </xdr:to>
    <xdr:sp macro="" textlink="">
      <xdr:nvSpPr>
        <xdr:cNvPr id="3073" name="AutoShape 1">
          <a:extLst>
            <a:ext uri="{FF2B5EF4-FFF2-40B4-BE49-F238E27FC236}">
              <a16:creationId xmlns:a16="http://schemas.microsoft.com/office/drawing/2014/main" id="{637D4E92-716B-FB4B-373B-AC3E6A69234F}"/>
            </a:ext>
          </a:extLst>
        </xdr:cNvPr>
        <xdr:cNvSpPr>
          <a:spLocks noChangeAspect="1" noChangeArrowheads="1"/>
        </xdr:cNvSpPr>
      </xdr:nvSpPr>
      <xdr:spPr bwMode="auto">
        <a:xfrm>
          <a:off x="12923520" y="3627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802106</xdr:colOff>
      <xdr:row>0</xdr:row>
      <xdr:rowOff>120316</xdr:rowOff>
    </xdr:from>
    <xdr:to>
      <xdr:col>3</xdr:col>
      <xdr:colOff>982178</xdr:colOff>
      <xdr:row>7</xdr:row>
      <xdr:rowOff>40199</xdr:rowOff>
    </xdr:to>
    <xdr:pic>
      <xdr:nvPicPr>
        <xdr:cNvPr id="2" name="Imagen 1">
          <a:extLst>
            <a:ext uri="{FF2B5EF4-FFF2-40B4-BE49-F238E27FC236}">
              <a16:creationId xmlns:a16="http://schemas.microsoft.com/office/drawing/2014/main" id="{063E880E-91A8-4125-AC46-C68CDFA37470}"/>
            </a:ext>
          </a:extLst>
        </xdr:cNvPr>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2374232" y="120316"/>
          <a:ext cx="1631883" cy="1459925"/>
        </a:xfrm>
        <a:prstGeom prst="rect">
          <a:avLst/>
        </a:prstGeom>
      </xdr:spPr>
    </xdr:pic>
    <xdr:clientData/>
  </xdr:twoCellAnchor>
  <xdr:twoCellAnchor editAs="oneCell">
    <xdr:from>
      <xdr:col>4</xdr:col>
      <xdr:colOff>365126</xdr:colOff>
      <xdr:row>0</xdr:row>
      <xdr:rowOff>79375</xdr:rowOff>
    </xdr:from>
    <xdr:to>
      <xdr:col>7</xdr:col>
      <xdr:colOff>928687</xdr:colOff>
      <xdr:row>8</xdr:row>
      <xdr:rowOff>167738</xdr:rowOff>
    </xdr:to>
    <xdr:pic>
      <xdr:nvPicPr>
        <xdr:cNvPr id="4" name="Imagen 3">
          <a:extLst>
            <a:ext uri="{FF2B5EF4-FFF2-40B4-BE49-F238E27FC236}">
              <a16:creationId xmlns:a16="http://schemas.microsoft.com/office/drawing/2014/main" id="{7F14B540-B938-C49C-D974-12EE7FCD8463}"/>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5969001" y="79375"/>
          <a:ext cx="5032374" cy="183461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fepdpygestion-my.sharepoint.com/personal/freddypdp_fe-pdpygestion_com/Documents/Documentos/FE%20PDP%20y%20GESTI&#211;N/2026/MULTIPLICADOR%20MARY%20FRANCES/GRUPO%20COBA%20-%20ORTOPEDIA/DOCUMENTOS%20FINALES/RAT-MTGE/ENTREGABLES/RAT-MTGE-%20EIPD%20(TRAUMA%20ORTOPEDICS-FINAL-MAYO%202026).xlsx" TargetMode="External" /><Relationship Id="rId2" Type="http://schemas.microsoft.com/office/2019/04/relationships/externalLinkLongPath" Target="/personal/freddypdp_fe-pdpygestion_com/Documents/Documentos/FE%20PDP%20y%20GESTI&#211;N/2026/MULTIPLICADOR%20MARY%20FRANCES/GRUPO%20COBA%20-%20ORTOPEDIA/DOCUMENTOS%20FINALES/RAT-MTGE/ENTREGABLES/RAT-MTGE-%20EIPD%20(TRAUMA%20ORTOPEDICS-FINAL-MAYO%202026).xlsx?851E5CAD" TargetMode="External" /><Relationship Id="rId1" Type="http://schemas.openxmlformats.org/officeDocument/2006/relationships/externalLinkPath" Target="//851E5CAD/RAT-MTGE-%20EIPD%20(TRAUMA%20ORTOPEDICS-FINAL-MAYO%202026).xlsx"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RITERIOS MTGE"/>
      <sheetName val="RAT - MTGE BASE"/>
      <sheetName val="ELABORACION DE PROFORMA"/>
      <sheetName val="PREPARACIÓN Y DESPACHO DISPOSIT"/>
      <sheetName val="ENTREGA DE INSTRUMENTAL"/>
      <sheetName val="DESCARGO DE CIRUGÍA"/>
      <sheetName val="FACTURACIÓN"/>
      <sheetName val="DESVINCULACIÓN DE PERSONAL"/>
      <sheetName val="PAGO DE NÓMINA"/>
      <sheetName val="PAGO PROVEEDORES"/>
      <sheetName val="CONTROL DE ASISTENCIA"/>
      <sheetName val="CONTRATACIÓN DE PERSONAL"/>
      <sheetName val="REGISTRO DE VARIACIÓN SUELDO"/>
      <sheetName val="EMISIÓN DOCUMENTOS ELECTRÓNICOS"/>
      <sheetName val="LLAMADA DE VENTAS"/>
      <sheetName val="CÁMARA DE VIDEO"/>
      <sheetName val="SELECCIÓN DE PERSONAL"/>
      <sheetName val="MEDICINA OCUPACIONAL"/>
      <sheetName val="FAC. INSUMOS MÉDICOS ENTREGA."/>
    </sheetNames>
    <sheetDataSet>
      <sheetData sheetId="0">
        <row r="7">
          <cell r="B7" t="str">
            <v>DE 0 A 1.000</v>
          </cell>
          <cell r="C7">
            <v>1</v>
          </cell>
          <cell r="E7" t="str">
            <v>HASTA 10 TIPOS DE DATOS POR TITULAR</v>
          </cell>
          <cell r="F7">
            <v>0.5</v>
          </cell>
          <cell r="H7" t="str">
            <v xml:space="preserve">BÁSICOS </v>
          </cell>
          <cell r="I7">
            <v>0.5</v>
          </cell>
          <cell r="K7" t="str">
            <v xml:space="preserve">TRATAMIENTO PUNTUAL </v>
          </cell>
          <cell r="L7">
            <v>0.5</v>
          </cell>
          <cell r="N7" t="str">
            <v>OCASIONAL</v>
          </cell>
          <cell r="O7">
            <v>0.5</v>
          </cell>
          <cell r="Q7" t="str">
            <v>ALCANCE LOCAL</v>
          </cell>
          <cell r="R7">
            <v>1</v>
          </cell>
        </row>
        <row r="8">
          <cell r="B8" t="str">
            <v>DE 1.001 A 10.000</v>
          </cell>
          <cell r="C8">
            <v>2</v>
          </cell>
          <cell r="E8" t="str">
            <v xml:space="preserve">ENTRE 11 Y 30 TIPOS DE DATOS </v>
          </cell>
          <cell r="F8">
            <v>1</v>
          </cell>
          <cell r="H8" t="str">
            <v>ESPECIALES</v>
          </cell>
          <cell r="I8">
            <v>2</v>
          </cell>
          <cell r="K8" t="str">
            <v>PERIÓDICA RECURRENTE</v>
          </cell>
          <cell r="L8">
            <v>1</v>
          </cell>
          <cell r="N8" t="str">
            <v>TEMPORAL</v>
          </cell>
          <cell r="O8">
            <v>1</v>
          </cell>
          <cell r="Q8" t="str">
            <v>NACIONAL</v>
          </cell>
          <cell r="R8">
            <v>2</v>
          </cell>
        </row>
        <row r="9">
          <cell r="B9" t="str">
            <v>DE 10.001 A 100.000</v>
          </cell>
          <cell r="C9">
            <v>3</v>
          </cell>
          <cell r="E9" t="str">
            <v xml:space="preserve">ENTRE 31 Y 100 TIPOS DE DATOS </v>
          </cell>
          <cell r="F9">
            <v>2</v>
          </cell>
          <cell r="H9" t="str">
            <v>ESPECIAL GRUPOS VULNERABLES</v>
          </cell>
          <cell r="I9">
            <v>3</v>
          </cell>
          <cell r="K9" t="str">
            <v>CONTINUA EN TIEMPO REAL</v>
          </cell>
          <cell r="L9">
            <v>2</v>
          </cell>
          <cell r="N9" t="str">
            <v>PROLONGADA</v>
          </cell>
          <cell r="O9">
            <v>2</v>
          </cell>
          <cell r="Q9" t="str">
            <v>GLOBAL</v>
          </cell>
          <cell r="R9">
            <v>3</v>
          </cell>
        </row>
        <row r="10">
          <cell r="B10" t="str">
            <v>DE 101.000 O MÁS</v>
          </cell>
          <cell r="C10">
            <v>4</v>
          </cell>
          <cell r="E10" t="str">
            <v xml:space="preserve">DESDE 101 O MÁS </v>
          </cell>
          <cell r="F10">
            <v>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1.xml" /><Relationship Id="rId1" Type="http://schemas.openxmlformats.org/officeDocument/2006/relationships/printerSettings" Target="../printerSettings/printerSettings1.bin" /><Relationship Id="rId4" Type="http://schemas.openxmlformats.org/officeDocument/2006/relationships/comments" Target="../comments1.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BA6E6-5EE2-4469-8D4F-3EDE44993249}">
  <dimension ref="B2:AH38"/>
  <sheetViews>
    <sheetView showGridLines="0" topLeftCell="E14" workbookViewId="0">
      <selection activeCell="T17" sqref="T17"/>
    </sheetView>
  </sheetViews>
  <sheetFormatPr defaultColWidth="10.625" defaultRowHeight="15" x14ac:dyDescent="0.2"/>
  <cols>
    <col min="1" max="1" width="10.625" style="39"/>
    <col min="2" max="2" width="21.38671875" style="39" customWidth="1"/>
    <col min="3" max="3" width="10.625" style="39"/>
    <col min="4" max="4" width="3.09375" style="39" customWidth="1"/>
    <col min="5" max="5" width="28.3828125" style="39" customWidth="1"/>
    <col min="6" max="6" width="10.625" style="39"/>
    <col min="7" max="7" width="4.16796875" style="39" customWidth="1"/>
    <col min="8" max="8" width="26.09765625" style="39" customWidth="1"/>
    <col min="9" max="9" width="10.625" style="39"/>
    <col min="10" max="10" width="3.62890625" style="39" customWidth="1"/>
    <col min="11" max="11" width="20.04296875" style="39" customWidth="1"/>
    <col min="12" max="12" width="10.625" style="39"/>
    <col min="13" max="13" width="3.62890625" style="39" customWidth="1"/>
    <col min="14" max="14" width="14.9296875" style="39" customWidth="1"/>
    <col min="15" max="15" width="10.625" style="39"/>
    <col min="16" max="16" width="4.16796875" style="39" customWidth="1"/>
    <col min="17" max="17" width="13.71875" style="39" customWidth="1"/>
    <col min="18" max="18" width="10.625" style="39"/>
    <col min="19" max="19" width="4.70703125" style="39" customWidth="1"/>
    <col min="20" max="20" width="29.45703125" style="39" customWidth="1"/>
    <col min="21" max="21" width="12.375" style="39" customWidth="1"/>
    <col min="22" max="23" width="10.625" style="39"/>
    <col min="24" max="24" width="26.6328125" style="39" customWidth="1"/>
    <col min="25" max="25" width="10.625" style="39"/>
    <col min="26" max="26" width="2.82421875" style="39" customWidth="1"/>
    <col min="27" max="27" width="23.9453125" style="39" customWidth="1"/>
    <col min="28" max="28" width="10.625" style="39"/>
    <col min="29" max="29" width="2.15234375" style="39" customWidth="1"/>
    <col min="30" max="30" width="25.55859375" style="39" customWidth="1"/>
    <col min="31" max="31" width="10.625" style="39"/>
    <col min="32" max="32" width="2.28515625" style="39" customWidth="1"/>
    <col min="33" max="33" width="30.1328125" style="39" customWidth="1"/>
    <col min="34" max="16384" width="10.625" style="39"/>
  </cols>
  <sheetData>
    <row r="2" spans="2:34" ht="25.9" customHeight="1" x14ac:dyDescent="0.3">
      <c r="B2" s="166" t="s">
        <v>73</v>
      </c>
      <c r="C2" s="166"/>
      <c r="D2" s="166"/>
      <c r="E2" s="166"/>
      <c r="F2" s="166"/>
      <c r="G2" s="166"/>
      <c r="H2" s="166"/>
      <c r="I2" s="166"/>
      <c r="J2" s="166"/>
      <c r="K2" s="166"/>
      <c r="L2" s="166"/>
      <c r="M2" s="166"/>
      <c r="N2" s="166"/>
      <c r="O2" s="166"/>
      <c r="P2" s="166"/>
      <c r="Q2" s="166"/>
      <c r="R2" s="166"/>
    </row>
    <row r="3" spans="2:34" ht="15.75" thickBot="1" x14ac:dyDescent="0.25"/>
    <row r="4" spans="2:34" ht="15.75" thickBot="1" x14ac:dyDescent="0.25">
      <c r="X4" s="163" t="s">
        <v>211</v>
      </c>
      <c r="Y4" s="164"/>
      <c r="Z4" s="164"/>
      <c r="AA4" s="164"/>
      <c r="AB4" s="164"/>
      <c r="AC4" s="164"/>
      <c r="AD4" s="164"/>
      <c r="AE4" s="164"/>
      <c r="AF4" s="164"/>
      <c r="AG4" s="164"/>
      <c r="AH4" s="165"/>
    </row>
    <row r="5" spans="2:34" ht="15.75" thickBot="1" x14ac:dyDescent="0.25">
      <c r="Y5" s="62"/>
      <c r="Z5" s="62"/>
      <c r="AA5" s="62"/>
      <c r="AB5" s="62"/>
      <c r="AC5" s="62"/>
      <c r="AD5" s="62"/>
      <c r="AE5" s="62"/>
      <c r="AF5" s="62"/>
      <c r="AG5" s="62"/>
    </row>
    <row r="6" spans="2:34" ht="57.6" customHeight="1" x14ac:dyDescent="0.2">
      <c r="B6" s="40" t="s">
        <v>74</v>
      </c>
      <c r="C6" s="41" t="s">
        <v>75</v>
      </c>
      <c r="E6" s="42" t="s">
        <v>76</v>
      </c>
      <c r="F6" s="41" t="s">
        <v>77</v>
      </c>
      <c r="H6" s="42" t="s">
        <v>78</v>
      </c>
      <c r="I6" s="41" t="s">
        <v>75</v>
      </c>
      <c r="K6" s="42" t="s">
        <v>79</v>
      </c>
      <c r="L6" s="41" t="s">
        <v>75</v>
      </c>
      <c r="N6" s="42" t="s">
        <v>80</v>
      </c>
      <c r="O6" s="41" t="s">
        <v>77</v>
      </c>
      <c r="Q6" s="42" t="s">
        <v>81</v>
      </c>
      <c r="R6" s="41" t="s">
        <v>77</v>
      </c>
      <c r="T6" s="43" t="s">
        <v>82</v>
      </c>
      <c r="U6" s="43" t="s">
        <v>83</v>
      </c>
      <c r="V6" s="43" t="s">
        <v>84</v>
      </c>
      <c r="X6" s="56"/>
      <c r="Y6" s="57">
        <v>0</v>
      </c>
      <c r="Z6" s="62"/>
      <c r="AA6" s="56"/>
      <c r="AB6" s="57">
        <v>0</v>
      </c>
      <c r="AC6" s="62"/>
      <c r="AD6" s="56"/>
      <c r="AE6" s="57">
        <v>0</v>
      </c>
      <c r="AF6" s="62"/>
      <c r="AG6" s="56"/>
      <c r="AH6" s="57">
        <v>0</v>
      </c>
    </row>
    <row r="7" spans="2:34" ht="28.9" customHeight="1" thickBot="1" x14ac:dyDescent="0.25">
      <c r="B7" s="44" t="s">
        <v>56</v>
      </c>
      <c r="C7" s="45">
        <v>1</v>
      </c>
      <c r="E7" s="44" t="s">
        <v>85</v>
      </c>
      <c r="F7" s="46">
        <v>0.5</v>
      </c>
      <c r="H7" s="44" t="s">
        <v>86</v>
      </c>
      <c r="I7" s="46">
        <v>0.5</v>
      </c>
      <c r="K7" s="44" t="s">
        <v>87</v>
      </c>
      <c r="L7" s="46">
        <v>0.5</v>
      </c>
      <c r="N7" s="44" t="s">
        <v>88</v>
      </c>
      <c r="O7" s="46">
        <v>0.5</v>
      </c>
      <c r="Q7" s="44" t="s">
        <v>59</v>
      </c>
      <c r="R7" s="46">
        <v>1</v>
      </c>
      <c r="T7" s="47">
        <f>SUM(R7,O7,L7,I7,F7,C7)</f>
        <v>4</v>
      </c>
      <c r="X7" s="60" t="s">
        <v>209</v>
      </c>
      <c r="Y7" s="58">
        <v>1</v>
      </c>
      <c r="Z7" s="62"/>
      <c r="AA7" s="60" t="s">
        <v>208</v>
      </c>
      <c r="AB7" s="58">
        <v>2</v>
      </c>
      <c r="AC7" s="62"/>
      <c r="AD7" s="60" t="s">
        <v>207</v>
      </c>
      <c r="AE7" s="58">
        <v>3</v>
      </c>
      <c r="AF7" s="62"/>
      <c r="AG7" s="60" t="s">
        <v>210</v>
      </c>
      <c r="AH7" s="58">
        <v>4</v>
      </c>
    </row>
    <row r="8" spans="2:34" ht="43.15" customHeight="1" thickBot="1" x14ac:dyDescent="0.25">
      <c r="B8" s="44" t="s">
        <v>89</v>
      </c>
      <c r="C8" s="45">
        <v>2</v>
      </c>
      <c r="E8" s="44" t="s">
        <v>90</v>
      </c>
      <c r="F8" s="46">
        <v>1</v>
      </c>
      <c r="H8" s="44" t="s">
        <v>58</v>
      </c>
      <c r="I8" s="46">
        <v>2</v>
      </c>
      <c r="K8" s="44" t="s">
        <v>91</v>
      </c>
      <c r="L8" s="46">
        <v>1</v>
      </c>
      <c r="N8" s="44" t="s">
        <v>41</v>
      </c>
      <c r="O8" s="46">
        <v>1</v>
      </c>
      <c r="Q8" s="44" t="s">
        <v>92</v>
      </c>
      <c r="R8" s="46">
        <v>2</v>
      </c>
      <c r="T8" s="47">
        <f>SUM(R7,O9,L7,I8,F8,C7)</f>
        <v>7.5</v>
      </c>
      <c r="U8" s="39" t="s">
        <v>93</v>
      </c>
      <c r="V8" s="48" t="s">
        <v>94</v>
      </c>
      <c r="Y8" s="62"/>
      <c r="Z8" s="62"/>
      <c r="AA8" s="62"/>
      <c r="AB8" s="62"/>
      <c r="AC8" s="62"/>
      <c r="AD8" s="62"/>
      <c r="AE8" s="62"/>
      <c r="AF8" s="62"/>
      <c r="AG8" s="62"/>
    </row>
    <row r="9" spans="2:34" ht="43.9" customHeight="1" thickBot="1" x14ac:dyDescent="0.25">
      <c r="B9" s="44" t="s">
        <v>95</v>
      </c>
      <c r="C9" s="45">
        <v>3</v>
      </c>
      <c r="E9" s="44" t="s">
        <v>57</v>
      </c>
      <c r="F9" s="46">
        <v>2</v>
      </c>
      <c r="H9" s="44" t="s">
        <v>96</v>
      </c>
      <c r="I9" s="46">
        <v>3</v>
      </c>
      <c r="K9" s="44" t="s">
        <v>40</v>
      </c>
      <c r="L9" s="46">
        <v>2</v>
      </c>
      <c r="N9" s="44" t="s">
        <v>97</v>
      </c>
      <c r="O9" s="46">
        <v>2</v>
      </c>
      <c r="Q9" s="44" t="s">
        <v>98</v>
      </c>
      <c r="R9" s="46">
        <v>3</v>
      </c>
      <c r="T9" s="47">
        <f>SUM(R8,O8,L7,I8,F9,C7)</f>
        <v>8.5</v>
      </c>
      <c r="U9" s="39" t="s">
        <v>99</v>
      </c>
      <c r="V9" s="48" t="s">
        <v>100</v>
      </c>
      <c r="X9" s="163" t="s">
        <v>212</v>
      </c>
      <c r="Y9" s="164"/>
      <c r="Z9" s="164"/>
      <c r="AA9" s="164"/>
      <c r="AB9" s="164"/>
      <c r="AC9" s="164"/>
      <c r="AD9" s="164"/>
      <c r="AE9" s="164"/>
      <c r="AF9" s="164"/>
      <c r="AG9" s="164"/>
      <c r="AH9" s="165"/>
    </row>
    <row r="10" spans="2:34" ht="15" customHeight="1" thickBot="1" x14ac:dyDescent="0.25">
      <c r="B10" s="49" t="s">
        <v>101</v>
      </c>
      <c r="C10" s="45">
        <v>4</v>
      </c>
      <c r="E10" s="44" t="s">
        <v>102</v>
      </c>
      <c r="F10" s="46">
        <v>3</v>
      </c>
    </row>
    <row r="11" spans="2:34" ht="57" customHeight="1" thickBot="1" x14ac:dyDescent="0.25">
      <c r="X11" s="63" t="s">
        <v>214</v>
      </c>
      <c r="Y11" s="64">
        <v>1</v>
      </c>
      <c r="Z11" s="2"/>
      <c r="AA11" s="65" t="s">
        <v>215</v>
      </c>
      <c r="AB11" s="64">
        <v>2</v>
      </c>
      <c r="AC11" s="10"/>
      <c r="AD11" s="66" t="s">
        <v>216</v>
      </c>
      <c r="AE11" s="64">
        <v>3</v>
      </c>
      <c r="AF11" s="6"/>
      <c r="AG11" s="63" t="s">
        <v>217</v>
      </c>
      <c r="AH11" s="64">
        <v>4</v>
      </c>
    </row>
    <row r="12" spans="2:34" ht="15.75" thickBot="1" x14ac:dyDescent="0.25"/>
    <row r="13" spans="2:34" ht="15.75" thickBot="1" x14ac:dyDescent="0.25">
      <c r="X13" s="163" t="s">
        <v>213</v>
      </c>
      <c r="Y13" s="164"/>
      <c r="Z13" s="164"/>
      <c r="AA13" s="164"/>
      <c r="AB13" s="164"/>
      <c r="AC13" s="164"/>
      <c r="AD13" s="164"/>
      <c r="AE13" s="164"/>
      <c r="AF13" s="164"/>
      <c r="AG13" s="164"/>
      <c r="AH13" s="165"/>
    </row>
    <row r="14" spans="2:34" ht="18" customHeight="1" thickBot="1" x14ac:dyDescent="0.25">
      <c r="B14" s="39" t="s">
        <v>103</v>
      </c>
      <c r="E14" s="39" t="s">
        <v>104</v>
      </c>
      <c r="H14" s="39" t="s">
        <v>105</v>
      </c>
      <c r="K14" s="39" t="s">
        <v>106</v>
      </c>
      <c r="N14" s="39" t="s">
        <v>66</v>
      </c>
      <c r="Q14" s="50" t="s">
        <v>107</v>
      </c>
      <c r="T14" s="39" t="s">
        <v>108</v>
      </c>
      <c r="AH14" s="43"/>
    </row>
    <row r="15" spans="2:34" ht="87.6" customHeight="1" thickBot="1" x14ac:dyDescent="0.25">
      <c r="B15" s="39" t="s">
        <v>109</v>
      </c>
      <c r="E15" s="39" t="s">
        <v>58</v>
      </c>
      <c r="H15" s="39" t="s">
        <v>110</v>
      </c>
      <c r="K15" s="39" t="s">
        <v>66</v>
      </c>
      <c r="N15" s="39" t="s">
        <v>111</v>
      </c>
      <c r="Q15" s="50" t="s">
        <v>112</v>
      </c>
      <c r="T15" s="39" t="s">
        <v>113</v>
      </c>
      <c r="X15" s="63" t="s">
        <v>214</v>
      </c>
      <c r="Y15" s="64">
        <v>1</v>
      </c>
      <c r="Z15" s="2"/>
      <c r="AA15" s="65" t="s">
        <v>215</v>
      </c>
      <c r="AB15" s="64">
        <v>2</v>
      </c>
      <c r="AC15" s="10"/>
      <c r="AD15" s="66" t="s">
        <v>216</v>
      </c>
      <c r="AE15" s="64">
        <v>3</v>
      </c>
      <c r="AF15" s="6"/>
      <c r="AG15" s="63" t="s">
        <v>217</v>
      </c>
      <c r="AH15" s="67">
        <v>4</v>
      </c>
    </row>
    <row r="16" spans="2:34" ht="26.45" customHeight="1" x14ac:dyDescent="0.2">
      <c r="B16" s="39" t="s">
        <v>114</v>
      </c>
      <c r="E16" s="39" t="s">
        <v>29</v>
      </c>
      <c r="H16" s="39" t="s">
        <v>115</v>
      </c>
      <c r="N16" s="39" t="s">
        <v>116</v>
      </c>
      <c r="Q16" s="50" t="s">
        <v>117</v>
      </c>
      <c r="T16" s="39" t="s">
        <v>118</v>
      </c>
    </row>
    <row r="17" spans="2:20" ht="27.75" x14ac:dyDescent="0.2">
      <c r="B17" s="39" t="s">
        <v>55</v>
      </c>
      <c r="E17" s="39" t="s">
        <v>119</v>
      </c>
      <c r="H17" s="39" t="s">
        <v>120</v>
      </c>
      <c r="N17" s="39" t="s">
        <v>121</v>
      </c>
      <c r="Q17" s="50" t="s">
        <v>122</v>
      </c>
      <c r="T17" s="39" t="s">
        <v>225</v>
      </c>
    </row>
    <row r="18" spans="2:20" ht="30.75" x14ac:dyDescent="0.2">
      <c r="B18" s="39" t="s">
        <v>123</v>
      </c>
      <c r="H18" s="39" t="s">
        <v>124</v>
      </c>
      <c r="N18" s="39" t="s">
        <v>125</v>
      </c>
      <c r="Q18" s="50" t="s">
        <v>126</v>
      </c>
      <c r="T18" s="39" t="s">
        <v>127</v>
      </c>
    </row>
    <row r="19" spans="2:20" ht="50.45" customHeight="1" x14ac:dyDescent="0.2">
      <c r="B19" s="39" t="s">
        <v>128</v>
      </c>
      <c r="H19" s="39" t="s">
        <v>129</v>
      </c>
      <c r="Q19" s="50" t="s">
        <v>130</v>
      </c>
      <c r="T19" s="39" t="s">
        <v>131</v>
      </c>
    </row>
    <row r="20" spans="2:20" ht="25.15" customHeight="1" x14ac:dyDescent="0.2">
      <c r="B20" s="39" t="s">
        <v>132</v>
      </c>
      <c r="Q20" s="50" t="s">
        <v>133</v>
      </c>
      <c r="T20" s="39" t="s">
        <v>134</v>
      </c>
    </row>
    <row r="21" spans="2:20" ht="26.45" customHeight="1" x14ac:dyDescent="0.2">
      <c r="B21" s="39" t="s">
        <v>135</v>
      </c>
      <c r="O21" s="39" t="s">
        <v>224</v>
      </c>
      <c r="Q21" s="50" t="s">
        <v>136</v>
      </c>
      <c r="T21" s="39" t="s">
        <v>137</v>
      </c>
    </row>
    <row r="22" spans="2:20" ht="26.45" customHeight="1" x14ac:dyDescent="0.2">
      <c r="B22" s="39" t="s">
        <v>138</v>
      </c>
      <c r="E22" s="39" t="s">
        <v>139</v>
      </c>
      <c r="F22" s="39" t="s">
        <v>92</v>
      </c>
      <c r="H22" s="39" t="s">
        <v>140</v>
      </c>
      <c r="I22" s="39" t="s">
        <v>141</v>
      </c>
      <c r="L22" s="54" t="s">
        <v>104</v>
      </c>
      <c r="N22" s="39" t="s">
        <v>142</v>
      </c>
      <c r="O22" s="39" t="s">
        <v>143</v>
      </c>
      <c r="Q22" s="50"/>
      <c r="T22" s="39" t="s">
        <v>144</v>
      </c>
    </row>
    <row r="23" spans="2:20" ht="41.25" x14ac:dyDescent="0.2">
      <c r="E23" s="39" t="s">
        <v>145</v>
      </c>
      <c r="F23" s="39" t="s">
        <v>146</v>
      </c>
      <c r="H23" s="39" t="s">
        <v>147</v>
      </c>
      <c r="I23" s="39" t="s">
        <v>148</v>
      </c>
      <c r="L23" s="39" t="s">
        <v>149</v>
      </c>
      <c r="N23" s="39" t="s">
        <v>92</v>
      </c>
      <c r="O23" s="39" t="s">
        <v>150</v>
      </c>
      <c r="T23" s="39" t="s">
        <v>151</v>
      </c>
    </row>
    <row r="24" spans="2:20" ht="54.75" x14ac:dyDescent="0.2">
      <c r="E24" s="39" t="s">
        <v>152</v>
      </c>
      <c r="F24" s="39" t="s">
        <v>153</v>
      </c>
      <c r="H24" s="39" t="s">
        <v>154</v>
      </c>
      <c r="I24" s="39" t="s">
        <v>155</v>
      </c>
      <c r="L24" s="39" t="s">
        <v>156</v>
      </c>
      <c r="N24" s="39" t="s">
        <v>146</v>
      </c>
      <c r="O24" s="39" t="s">
        <v>157</v>
      </c>
      <c r="T24" s="39" t="s">
        <v>158</v>
      </c>
    </row>
    <row r="25" spans="2:20" ht="41.25" x14ac:dyDescent="0.2">
      <c r="E25" s="39" t="s">
        <v>159</v>
      </c>
      <c r="I25" s="39" t="s">
        <v>160</v>
      </c>
      <c r="L25" s="39" t="s">
        <v>161</v>
      </c>
      <c r="O25" s="39" t="s">
        <v>162</v>
      </c>
      <c r="T25" s="39" t="s">
        <v>163</v>
      </c>
    </row>
    <row r="26" spans="2:20" ht="41.25" x14ac:dyDescent="0.2">
      <c r="I26" s="39" t="s">
        <v>164</v>
      </c>
      <c r="L26" s="39" t="s">
        <v>165</v>
      </c>
      <c r="O26" s="39" t="s">
        <v>166</v>
      </c>
    </row>
    <row r="27" spans="2:20" ht="41.25" x14ac:dyDescent="0.2">
      <c r="L27" s="54" t="s">
        <v>58</v>
      </c>
      <c r="O27" s="39" t="s">
        <v>167</v>
      </c>
    </row>
    <row r="28" spans="2:20" ht="81" x14ac:dyDescent="0.2">
      <c r="L28" s="39" t="s">
        <v>168</v>
      </c>
      <c r="O28" s="39" t="s">
        <v>169</v>
      </c>
    </row>
    <row r="29" spans="2:20" ht="41.25" x14ac:dyDescent="0.2">
      <c r="L29" s="39" t="s">
        <v>109</v>
      </c>
      <c r="O29" s="39" t="s">
        <v>170</v>
      </c>
    </row>
    <row r="30" spans="2:20" ht="54.75" x14ac:dyDescent="0.2">
      <c r="L30" s="39" t="s">
        <v>171</v>
      </c>
      <c r="O30" s="39" t="s">
        <v>172</v>
      </c>
    </row>
    <row r="31" spans="2:20" x14ac:dyDescent="0.2">
      <c r="L31" s="39" t="s">
        <v>173</v>
      </c>
    </row>
    <row r="32" spans="2:20" ht="27.75" x14ac:dyDescent="0.2">
      <c r="L32" s="39" t="s">
        <v>174</v>
      </c>
    </row>
    <row r="33" spans="12:12" x14ac:dyDescent="0.2">
      <c r="L33" s="39" t="s">
        <v>175</v>
      </c>
    </row>
    <row r="34" spans="12:12" ht="27.75" x14ac:dyDescent="0.2">
      <c r="L34" s="54" t="s">
        <v>29</v>
      </c>
    </row>
    <row r="35" spans="12:12" ht="54.75" x14ac:dyDescent="0.2">
      <c r="L35" s="39" t="s">
        <v>176</v>
      </c>
    </row>
    <row r="36" spans="12:12" x14ac:dyDescent="0.2">
      <c r="L36" s="39" t="s">
        <v>177</v>
      </c>
    </row>
    <row r="37" spans="12:12" x14ac:dyDescent="0.2">
      <c r="L37" s="39" t="s">
        <v>178</v>
      </c>
    </row>
    <row r="38" spans="12:12" ht="27.75" x14ac:dyDescent="0.2">
      <c r="L38" s="39" t="s">
        <v>179</v>
      </c>
    </row>
  </sheetData>
  <mergeCells count="4">
    <mergeCell ref="X4:AH4"/>
    <mergeCell ref="X9:AH9"/>
    <mergeCell ref="X13:AH13"/>
    <mergeCell ref="B2:R2"/>
  </mergeCells>
  <dataValidations count="1">
    <dataValidation allowBlank="1" showInputMessage="1" showErrorMessage="1" sqref="AB11:AF11 AB15:AF15" xr:uid="{375506E4-3915-4F19-9AC2-EEDBA12D69B0}"/>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6B93D-3F06-4B90-9D4E-A32436379463}">
  <dimension ref="A2:U67"/>
  <sheetViews>
    <sheetView showGridLines="0" tabSelected="1" topLeftCell="D1" zoomScale="46" zoomScaleNormal="46" workbookViewId="0">
      <selection activeCell="P16" sqref="P16"/>
    </sheetView>
  </sheetViews>
  <sheetFormatPr defaultColWidth="9.14453125" defaultRowHeight="16.5" x14ac:dyDescent="0.25"/>
  <cols>
    <col min="1" max="1" width="13.046875" style="106" customWidth="1"/>
    <col min="2" max="2" width="1.61328125" style="106" customWidth="1"/>
    <col min="3" max="3" width="25.69140625" style="106" customWidth="1"/>
    <col min="4" max="4" width="29.7265625" style="106" customWidth="1"/>
    <col min="5" max="5" width="28.3828125" style="106" customWidth="1"/>
    <col min="6" max="6" width="30.40234375" style="106" customWidth="1"/>
    <col min="7" max="8" width="28.3828125" style="107" customWidth="1"/>
    <col min="9" max="9" width="3.09375" style="107" customWidth="1"/>
    <col min="10" max="10" width="5.6484375" style="106" customWidth="1"/>
    <col min="11" max="13" width="23.40625" style="106" customWidth="1"/>
    <col min="14" max="14" width="25.69140625" style="106" customWidth="1"/>
    <col min="15" max="15" width="23.40625" style="106" customWidth="1"/>
    <col min="16" max="16" width="18.6953125" style="106" customWidth="1"/>
    <col min="17" max="18" width="20.71484375" style="106" customWidth="1"/>
    <col min="19" max="19" width="21.38671875" style="106" customWidth="1"/>
    <col min="20" max="21" width="20.71484375" style="106" customWidth="1"/>
    <col min="22" max="16384" width="9.14453125" style="106"/>
  </cols>
  <sheetData>
    <row r="2" spans="1:21" ht="17.25" thickBot="1" x14ac:dyDescent="0.3"/>
    <row r="3" spans="1:21" ht="28.5" thickBot="1" x14ac:dyDescent="0.3">
      <c r="C3" s="108" t="s">
        <v>180</v>
      </c>
      <c r="D3" s="167" t="s">
        <v>226</v>
      </c>
      <c r="E3" s="167"/>
      <c r="F3" s="167"/>
    </row>
    <row r="4" spans="1:21" x14ac:dyDescent="0.25">
      <c r="C4" s="172" t="s">
        <v>181</v>
      </c>
      <c r="D4" s="172"/>
      <c r="E4" s="172"/>
      <c r="F4" s="172"/>
    </row>
    <row r="5" spans="1:21" ht="41.25" thickBot="1" x14ac:dyDescent="0.25">
      <c r="C5" s="109" t="s">
        <v>182</v>
      </c>
      <c r="D5" s="109" t="s">
        <v>183</v>
      </c>
      <c r="E5" s="51" t="s">
        <v>184</v>
      </c>
      <c r="F5" s="51" t="s">
        <v>185</v>
      </c>
      <c r="G5" s="51" t="s">
        <v>186</v>
      </c>
      <c r="H5" s="52"/>
      <c r="I5" s="106"/>
    </row>
    <row r="6" spans="1:21" ht="30" customHeight="1" thickBot="1" x14ac:dyDescent="0.3">
      <c r="C6" s="110" t="s">
        <v>223</v>
      </c>
      <c r="D6" s="111" t="s">
        <v>152</v>
      </c>
      <c r="E6" s="112" t="s">
        <v>227</v>
      </c>
      <c r="F6" s="113" t="s">
        <v>92</v>
      </c>
      <c r="G6" s="76" t="s">
        <v>228</v>
      </c>
      <c r="H6" s="53"/>
    </row>
    <row r="7" spans="1:21" x14ac:dyDescent="0.25">
      <c r="C7" s="173" t="s">
        <v>187</v>
      </c>
      <c r="D7" s="173"/>
      <c r="E7" s="173"/>
      <c r="F7" s="173"/>
      <c r="G7" s="53"/>
      <c r="H7" s="53"/>
    </row>
    <row r="8" spans="1:21" ht="34.9" customHeight="1" thickBot="1" x14ac:dyDescent="0.3">
      <c r="C8" s="114" t="s">
        <v>188</v>
      </c>
      <c r="D8" s="115" t="s">
        <v>189</v>
      </c>
      <c r="E8" s="115" t="s">
        <v>190</v>
      </c>
      <c r="F8" s="109" t="s">
        <v>191</v>
      </c>
    </row>
    <row r="9" spans="1:21" ht="28.9" customHeight="1" thickBot="1" x14ac:dyDescent="0.3">
      <c r="C9" s="116" t="s">
        <v>140</v>
      </c>
      <c r="D9" s="117"/>
      <c r="E9" s="117"/>
      <c r="F9" s="118" t="s">
        <v>141</v>
      </c>
    </row>
    <row r="10" spans="1:21" ht="39" customHeight="1" thickBot="1" x14ac:dyDescent="0.3">
      <c r="L10" s="174" t="s">
        <v>30</v>
      </c>
      <c r="M10" s="174"/>
      <c r="Q10" s="168" t="s">
        <v>192</v>
      </c>
      <c r="R10" s="168"/>
      <c r="S10" s="168"/>
      <c r="T10" s="168"/>
      <c r="U10" s="168"/>
    </row>
    <row r="11" spans="1:21" ht="60" customHeight="1" thickBot="1" x14ac:dyDescent="0.3">
      <c r="B11" s="119"/>
      <c r="C11" s="120" t="s">
        <v>31</v>
      </c>
      <c r="D11" s="121" t="s">
        <v>32</v>
      </c>
      <c r="E11" s="122" t="s">
        <v>33</v>
      </c>
      <c r="F11" s="122" t="s">
        <v>34</v>
      </c>
      <c r="G11" s="122" t="s">
        <v>35</v>
      </c>
      <c r="H11" s="123" t="s">
        <v>36</v>
      </c>
      <c r="K11" s="124" t="s">
        <v>193</v>
      </c>
      <c r="L11" s="124" t="s">
        <v>194</v>
      </c>
      <c r="M11" s="124" t="s">
        <v>195</v>
      </c>
      <c r="N11" s="124" t="s">
        <v>37</v>
      </c>
      <c r="O11" s="124" t="s">
        <v>38</v>
      </c>
      <c r="P11" s="124" t="s">
        <v>39</v>
      </c>
      <c r="Q11" s="125" t="s">
        <v>196</v>
      </c>
      <c r="R11" s="126" t="s">
        <v>197</v>
      </c>
      <c r="S11" s="126" t="s">
        <v>198</v>
      </c>
      <c r="T11" s="126" t="s">
        <v>199</v>
      </c>
      <c r="U11" s="127" t="s">
        <v>200</v>
      </c>
    </row>
    <row r="12" spans="1:21" s="128" customFormat="1" ht="126.6" customHeight="1" thickBot="1" x14ac:dyDescent="0.3">
      <c r="B12" s="129"/>
      <c r="C12" s="130"/>
      <c r="D12" s="131"/>
      <c r="E12" s="132"/>
      <c r="F12" s="131"/>
      <c r="G12" s="133" t="s">
        <v>229</v>
      </c>
      <c r="H12" s="134" t="s">
        <v>230</v>
      </c>
      <c r="J12" s="135"/>
      <c r="K12" s="136" t="s">
        <v>231</v>
      </c>
      <c r="L12" s="137" t="str">
        <f>+D14</f>
        <v>ESPECIALES</v>
      </c>
      <c r="M12" s="137" t="s">
        <v>109</v>
      </c>
      <c r="N12" s="138" t="str">
        <f>+C14</f>
        <v>TITULARES INTERNOS - EMPLEADO</v>
      </c>
      <c r="O12" s="137" t="s">
        <v>91</v>
      </c>
      <c r="P12" s="137" t="s">
        <v>41</v>
      </c>
      <c r="Q12" s="139" t="s">
        <v>286</v>
      </c>
      <c r="R12" s="139" t="s">
        <v>286</v>
      </c>
      <c r="S12" s="139" t="s">
        <v>286</v>
      </c>
      <c r="T12" s="139" t="s">
        <v>286</v>
      </c>
      <c r="U12" s="139" t="s">
        <v>286</v>
      </c>
    </row>
    <row r="13" spans="1:21" s="144" customFormat="1" ht="57.4" customHeight="1" thickBot="1" x14ac:dyDescent="0.25">
      <c r="A13" s="128"/>
      <c r="B13" s="129"/>
      <c r="C13" s="140" t="s">
        <v>232</v>
      </c>
      <c r="D13" s="141" t="s">
        <v>42</v>
      </c>
      <c r="E13" s="142" t="s">
        <v>43</v>
      </c>
      <c r="F13" s="142" t="s">
        <v>202</v>
      </c>
      <c r="G13" s="142" t="s">
        <v>44</v>
      </c>
      <c r="H13" s="143" t="s">
        <v>45</v>
      </c>
    </row>
    <row r="14" spans="1:21" s="144" customFormat="1" ht="106.9" customHeight="1" thickBot="1" x14ac:dyDescent="0.3">
      <c r="A14" s="128"/>
      <c r="B14" s="129"/>
      <c r="C14" s="145" t="s">
        <v>110</v>
      </c>
      <c r="D14" s="146" t="s">
        <v>58</v>
      </c>
      <c r="E14" s="147" t="s">
        <v>106</v>
      </c>
      <c r="F14" s="147" t="s">
        <v>111</v>
      </c>
      <c r="G14" s="147" t="s">
        <v>112</v>
      </c>
      <c r="H14" s="134" t="s">
        <v>233</v>
      </c>
      <c r="K14" s="148" t="s">
        <v>287</v>
      </c>
      <c r="L14" s="148" t="s">
        <v>46</v>
      </c>
      <c r="M14" s="148" t="s">
        <v>47</v>
      </c>
      <c r="N14" s="148" t="s">
        <v>48</v>
      </c>
      <c r="O14" s="148" t="s">
        <v>49</v>
      </c>
      <c r="P14" s="148" t="s">
        <v>50</v>
      </c>
      <c r="Q14" s="148" t="s">
        <v>51</v>
      </c>
      <c r="R14" s="149" t="s">
        <v>288</v>
      </c>
      <c r="S14" s="148" t="s">
        <v>52</v>
      </c>
      <c r="T14" s="148" t="s">
        <v>53</v>
      </c>
      <c r="U14" s="148" t="s">
        <v>54</v>
      </c>
    </row>
    <row r="15" spans="1:21" s="144" customFormat="1" ht="57.4" customHeight="1" thickBot="1" x14ac:dyDescent="0.3">
      <c r="A15" s="128"/>
      <c r="B15" s="129"/>
      <c r="C15" s="150"/>
      <c r="D15" s="169" t="s">
        <v>234</v>
      </c>
      <c r="E15" s="170"/>
      <c r="F15" s="170"/>
      <c r="G15" s="170"/>
      <c r="H15" s="171"/>
      <c r="K15" s="77" t="s">
        <v>109</v>
      </c>
      <c r="L15" s="151" t="s">
        <v>56</v>
      </c>
      <c r="M15" s="151" t="s">
        <v>85</v>
      </c>
      <c r="N15" s="151" t="s">
        <v>58</v>
      </c>
      <c r="O15" s="151" t="s">
        <v>91</v>
      </c>
      <c r="P15" s="151" t="s">
        <v>41</v>
      </c>
      <c r="Q15" s="151" t="s">
        <v>59</v>
      </c>
      <c r="R15" s="152">
        <f>VLOOKUP(L15,'[1]CRITERIOS MTGE'!$B$7:$C$10,2,FALSE)+VLOOKUP(M15,'[1]CRITERIOS MTGE'!$E$7:$F$10,2,FALSE)+VLOOKUP(N15,'[1]CRITERIOS MTGE'!$H$7:$I$9,2,FALSE)+VLOOKUP(O15,'[1]CRITERIOS MTGE'!$K$7:$L$9,2,FALSE)+VLOOKUP(P15,'[1]CRITERIOS MTGE'!$N$7:$O$9,2,FALSE)+VLOOKUP(Q15,'[1]CRITERIOS MTGE'!$Q$7:$R$9,2,FALSE)</f>
        <v>6.5</v>
      </c>
      <c r="S15" s="153" t="str">
        <f>IF($R$15&gt;=6,"OBLIGADO","NO OBLIGADO")</f>
        <v>OBLIGADO</v>
      </c>
      <c r="T15" s="153" t="str">
        <f t="shared" ref="T15:U15" si="0">IF($R$15&gt;=6,"OBLIGADO","NO OBLIGADO")</f>
        <v>OBLIGADO</v>
      </c>
      <c r="U15" s="153" t="str">
        <f t="shared" si="0"/>
        <v>OBLIGADO</v>
      </c>
    </row>
    <row r="16" spans="1:21" s="144" customFormat="1" ht="57.4" customHeight="1" thickBot="1" x14ac:dyDescent="0.25">
      <c r="A16" s="128"/>
      <c r="B16" s="129"/>
      <c r="C16" s="154" t="s">
        <v>60</v>
      </c>
      <c r="D16" s="125" t="s">
        <v>61</v>
      </c>
      <c r="E16" s="126" t="s">
        <v>62</v>
      </c>
      <c r="F16" s="126" t="s">
        <v>63</v>
      </c>
      <c r="G16" s="126" t="s">
        <v>64</v>
      </c>
      <c r="H16" s="127" t="s">
        <v>65</v>
      </c>
      <c r="L16" s="155"/>
      <c r="M16" s="155"/>
      <c r="N16" s="155"/>
      <c r="O16" s="155"/>
      <c r="P16" s="155"/>
      <c r="Q16" s="155"/>
      <c r="R16" s="156"/>
      <c r="S16" s="156"/>
    </row>
    <row r="17" spans="1:13" s="144" customFormat="1" ht="126" customHeight="1" thickBot="1" x14ac:dyDescent="0.3">
      <c r="A17" s="128"/>
      <c r="B17" s="129"/>
      <c r="C17" s="157" t="s">
        <v>66</v>
      </c>
      <c r="D17" s="158" t="s">
        <v>203</v>
      </c>
      <c r="E17" s="158" t="s">
        <v>204</v>
      </c>
      <c r="F17" s="158" t="s">
        <v>205</v>
      </c>
      <c r="G17" s="158" t="s">
        <v>206</v>
      </c>
      <c r="H17" s="159" t="s">
        <v>201</v>
      </c>
      <c r="K17" s="160"/>
      <c r="L17" s="160"/>
      <c r="M17" s="160"/>
    </row>
    <row r="18" spans="1:13" s="144" customFormat="1" ht="57.4" customHeight="1" x14ac:dyDescent="0.2">
      <c r="D18" s="161"/>
      <c r="K18" s="135"/>
      <c r="L18" s="128"/>
      <c r="M18" s="128"/>
    </row>
    <row r="19" spans="1:13" s="144" customFormat="1" ht="57.4" customHeight="1" x14ac:dyDescent="0.2"/>
    <row r="20" spans="1:13" s="144" customFormat="1" ht="57.4" customHeight="1" x14ac:dyDescent="0.2"/>
    <row r="21" spans="1:13" s="144" customFormat="1" ht="57.4" customHeight="1" x14ac:dyDescent="0.2"/>
    <row r="22" spans="1:13" s="144" customFormat="1" ht="57.4" customHeight="1" x14ac:dyDescent="0.2"/>
    <row r="23" spans="1:13" s="144" customFormat="1" ht="14.25" x14ac:dyDescent="0.2"/>
    <row r="24" spans="1:13" s="144" customFormat="1" ht="14.25" x14ac:dyDescent="0.2"/>
    <row r="25" spans="1:13" s="144" customFormat="1" ht="14.25" x14ac:dyDescent="0.2"/>
    <row r="26" spans="1:13" s="144" customFormat="1" ht="14.25" x14ac:dyDescent="0.2"/>
    <row r="27" spans="1:13" s="144" customFormat="1" ht="14.25" x14ac:dyDescent="0.2"/>
    <row r="28" spans="1:13" s="144" customFormat="1" ht="14.25" x14ac:dyDescent="0.2"/>
    <row r="29" spans="1:13" s="144" customFormat="1" ht="14.25" x14ac:dyDescent="0.2"/>
    <row r="30" spans="1:13" s="144" customFormat="1" ht="14.25" x14ac:dyDescent="0.2"/>
    <row r="31" spans="1:13" s="144" customFormat="1" ht="14.25" x14ac:dyDescent="0.2"/>
    <row r="32" spans="1:13" s="144" customFormat="1" ht="14.25" x14ac:dyDescent="0.2"/>
    <row r="33" s="162" customFormat="1" ht="14.25" x14ac:dyDescent="0.2"/>
    <row r="34" s="162" customFormat="1" ht="14.25" x14ac:dyDescent="0.2"/>
    <row r="35" s="162" customFormat="1" ht="14.25" x14ac:dyDescent="0.2"/>
    <row r="36" s="162" customFormat="1" ht="14.25" x14ac:dyDescent="0.2"/>
    <row r="37" s="162" customFormat="1" ht="14.25" x14ac:dyDescent="0.2"/>
    <row r="38" s="162" customFormat="1" ht="14.25" x14ac:dyDescent="0.2"/>
    <row r="39" s="162" customFormat="1" ht="14.25" x14ac:dyDescent="0.2"/>
    <row r="40" s="162" customFormat="1" ht="14.25" x14ac:dyDescent="0.2"/>
    <row r="41" s="162" customFormat="1" ht="14.25" x14ac:dyDescent="0.2"/>
    <row r="42" s="106" customFormat="1" ht="14.25" x14ac:dyDescent="0.2"/>
    <row r="43" s="106" customFormat="1" ht="14.25" x14ac:dyDescent="0.2"/>
    <row r="44" s="106" customFormat="1" ht="14.25" x14ac:dyDescent="0.2"/>
    <row r="45" s="106" customFormat="1" ht="14.25" x14ac:dyDescent="0.2"/>
    <row r="46" s="106" customFormat="1" ht="14.25" x14ac:dyDescent="0.2"/>
    <row r="47" s="106" customFormat="1" ht="14.25" x14ac:dyDescent="0.2"/>
    <row r="48" s="106" customFormat="1" ht="14.25" x14ac:dyDescent="0.2"/>
    <row r="49" s="106" customFormat="1" ht="14.25" x14ac:dyDescent="0.2"/>
    <row r="50" s="106" customFormat="1" ht="14.25" x14ac:dyDescent="0.2"/>
    <row r="51" s="106" customFormat="1" ht="14.25" x14ac:dyDescent="0.2"/>
    <row r="52" s="106" customFormat="1" ht="14.25" x14ac:dyDescent="0.2"/>
    <row r="53" s="106" customFormat="1" ht="14.25" x14ac:dyDescent="0.2"/>
    <row r="54" s="106" customFormat="1" ht="14.25" x14ac:dyDescent="0.2"/>
    <row r="55" s="106" customFormat="1" ht="14.25" x14ac:dyDescent="0.2"/>
    <row r="56" s="106" customFormat="1" ht="14.25" x14ac:dyDescent="0.2"/>
    <row r="57" s="106" customFormat="1" ht="14.25" x14ac:dyDescent="0.2"/>
    <row r="58" s="106" customFormat="1" ht="14.25" x14ac:dyDescent="0.2"/>
    <row r="59" s="106" customFormat="1" ht="14.25" x14ac:dyDescent="0.2"/>
    <row r="60" s="106" customFormat="1" ht="14.25" x14ac:dyDescent="0.2"/>
    <row r="61" s="106" customFormat="1" ht="14.25" x14ac:dyDescent="0.2"/>
    <row r="62" s="106" customFormat="1" ht="14.25" x14ac:dyDescent="0.2"/>
    <row r="63" s="106" customFormat="1" ht="14.25" x14ac:dyDescent="0.2"/>
    <row r="64" s="106" customFormat="1" ht="14.25" x14ac:dyDescent="0.2"/>
    <row r="65" s="106" customFormat="1" ht="14.25" x14ac:dyDescent="0.2"/>
    <row r="66" s="106" customFormat="1" ht="14.25" x14ac:dyDescent="0.2"/>
    <row r="67" s="106" customFormat="1" ht="14.25" x14ac:dyDescent="0.2"/>
  </sheetData>
  <mergeCells count="6">
    <mergeCell ref="D3:F3"/>
    <mergeCell ref="Q10:U10"/>
    <mergeCell ref="D15:H15"/>
    <mergeCell ref="C4:F4"/>
    <mergeCell ref="C7:F7"/>
    <mergeCell ref="L10:M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D6B68-FE20-44DA-9298-FDC4A40DC4C8}">
  <dimension ref="B1:BR27"/>
  <sheetViews>
    <sheetView showGridLines="0" topLeftCell="A7" zoomScale="47" zoomScaleNormal="47" workbookViewId="0">
      <selection activeCell="H11" sqref="H11"/>
    </sheetView>
  </sheetViews>
  <sheetFormatPr defaultColWidth="46.6796875" defaultRowHeight="73.150000000000006" customHeight="1" x14ac:dyDescent="0.2"/>
  <cols>
    <col min="1" max="1" width="6.72265625" style="1" customWidth="1"/>
    <col min="2" max="2" width="9.953125" style="1" customWidth="1"/>
    <col min="3" max="3" width="36.05078125" style="1" customWidth="1"/>
    <col min="4" max="7" width="24.6171875" style="1" customWidth="1"/>
    <col min="8" max="8" width="62.1484375" style="1" customWidth="1"/>
    <col min="9" max="9" width="11.703125" style="2" bestFit="1" customWidth="1"/>
    <col min="10" max="10" width="2.15234375" style="1" customWidth="1"/>
    <col min="11" max="11" width="4.16796875" style="1" customWidth="1"/>
    <col min="12" max="15" width="13.71875" style="1" customWidth="1"/>
    <col min="16" max="16" width="14.66015625" style="1" customWidth="1"/>
    <col min="17" max="17" width="2.41796875" style="1" customWidth="1"/>
    <col min="18" max="21" width="13.71875" style="1" customWidth="1"/>
    <col min="22" max="22" width="14.66015625" style="1" customWidth="1"/>
    <col min="23" max="23" width="2.15234375" style="1" customWidth="1"/>
    <col min="24" max="28" width="14.66015625" style="1" customWidth="1"/>
    <col min="29" max="29" width="2.15234375" style="1" customWidth="1"/>
    <col min="30" max="34" width="14.66015625" style="1" customWidth="1"/>
    <col min="35" max="35" width="2.15234375" style="1" customWidth="1"/>
    <col min="36" max="40" width="14.66015625" style="1" customWidth="1"/>
    <col min="41" max="41" width="2.15234375" style="1" customWidth="1"/>
    <col min="42" max="46" width="14.66015625" style="1" customWidth="1"/>
    <col min="47" max="47" width="2.015625" style="1" customWidth="1"/>
    <col min="48" max="52" width="14.66015625" style="1" customWidth="1"/>
    <col min="53" max="53" width="3.09375" style="1" customWidth="1"/>
    <col min="54" max="58" width="14.66015625" style="1" customWidth="1"/>
    <col min="59" max="59" width="2.15234375" style="1" customWidth="1"/>
    <col min="60" max="64" width="14.66015625" style="1" customWidth="1"/>
    <col min="65" max="65" width="2.015625" style="1" customWidth="1"/>
    <col min="66" max="70" width="14.66015625" style="1" customWidth="1"/>
    <col min="71" max="71" width="2.6875" style="1" customWidth="1"/>
    <col min="72" max="76" width="14.66015625" style="1" customWidth="1"/>
    <col min="77" max="77" width="2.15234375" style="1" customWidth="1"/>
    <col min="78" max="81" width="14.66015625" style="1" customWidth="1"/>
    <col min="82" max="82" width="2.6875" style="1" customWidth="1"/>
    <col min="83" max="83" width="2.015625" style="1" customWidth="1"/>
    <col min="84" max="85" width="14.66015625" style="1" customWidth="1"/>
    <col min="86" max="86" width="4.70703125" style="1" customWidth="1"/>
    <col min="87" max="88" width="14.66015625" style="1" customWidth="1"/>
    <col min="89" max="16384" width="46.6796875" style="1"/>
  </cols>
  <sheetData>
    <row r="1" spans="2:70" ht="22.15" customHeight="1" thickBot="1" x14ac:dyDescent="0.25"/>
    <row r="2" spans="2:70" ht="61.9" customHeight="1" thickBot="1" x14ac:dyDescent="0.25">
      <c r="C2" s="175" t="s">
        <v>7</v>
      </c>
      <c r="D2" s="175"/>
      <c r="E2" s="175"/>
      <c r="F2" s="175"/>
      <c r="G2" s="175"/>
      <c r="H2" s="175"/>
      <c r="I2" s="3"/>
      <c r="J2" s="4"/>
      <c r="K2" s="4"/>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6"/>
      <c r="BB2" s="6"/>
      <c r="BC2" s="6"/>
      <c r="BD2" s="6"/>
      <c r="BE2" s="6"/>
      <c r="BF2" s="6"/>
      <c r="BG2" s="6"/>
      <c r="BH2" s="6"/>
      <c r="BI2" s="6"/>
      <c r="BJ2" s="6"/>
    </row>
    <row r="3" spans="2:70" ht="49.9" customHeight="1" x14ac:dyDescent="0.35">
      <c r="C3" s="3" t="s">
        <v>5</v>
      </c>
      <c r="D3" s="3"/>
      <c r="E3" s="3"/>
      <c r="F3" s="3"/>
      <c r="G3" s="3"/>
      <c r="H3" s="3" t="s">
        <v>218</v>
      </c>
      <c r="I3" s="3"/>
      <c r="J3" s="4"/>
      <c r="K3" s="4"/>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6"/>
      <c r="BB3" s="6"/>
      <c r="BC3" s="6"/>
      <c r="BD3" s="6"/>
      <c r="BE3" s="6"/>
      <c r="BF3" s="6"/>
      <c r="BG3" s="6"/>
      <c r="BH3" s="6"/>
      <c r="BI3" s="6"/>
      <c r="BJ3" s="6"/>
    </row>
    <row r="4" spans="2:70" ht="49.9" customHeight="1" x14ac:dyDescent="0.2">
      <c r="C4" s="70" t="str">
        <f>'RAT-MTGE MEDICINA OCUPACIONAL'!D3</f>
        <v>EXÁMENES MÉDICOS OBLIGATORIOS                                                     (Pre ocupacional, Periódica y Retiro)</v>
      </c>
      <c r="D4" s="3"/>
      <c r="E4" s="3"/>
      <c r="F4" s="3"/>
      <c r="G4" s="3"/>
      <c r="H4" s="71" t="str">
        <f>+'RAT-MTGE MEDICINA OCUPACIONAL'!M12</f>
        <v>SALUD</v>
      </c>
      <c r="I4" s="3"/>
      <c r="J4" s="4"/>
      <c r="K4" s="4"/>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6"/>
      <c r="BB4" s="6"/>
      <c r="BC4" s="6"/>
      <c r="BD4" s="6"/>
      <c r="BE4" s="6"/>
      <c r="BF4" s="6"/>
      <c r="BG4" s="6"/>
      <c r="BH4" s="6"/>
      <c r="BI4" s="6"/>
      <c r="BJ4" s="6"/>
    </row>
    <row r="5" spans="2:70" ht="49.9" customHeight="1" x14ac:dyDescent="0.35">
      <c r="C5" s="3" t="s">
        <v>74</v>
      </c>
      <c r="D5" s="3"/>
      <c r="E5" s="3"/>
      <c r="F5" s="3"/>
      <c r="G5" s="3"/>
      <c r="H5" s="3" t="s">
        <v>219</v>
      </c>
      <c r="I5" s="3"/>
      <c r="J5" s="4"/>
      <c r="K5" s="4"/>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6"/>
      <c r="BB5" s="6"/>
      <c r="BC5" s="6"/>
      <c r="BD5" s="6"/>
      <c r="BE5" s="6"/>
      <c r="BF5" s="6"/>
      <c r="BG5" s="6"/>
      <c r="BH5" s="6"/>
      <c r="BI5" s="6"/>
      <c r="BJ5" s="6"/>
    </row>
    <row r="6" spans="2:70" ht="49.9" customHeight="1" x14ac:dyDescent="0.35">
      <c r="C6" s="33" t="str">
        <f>+'RAT-MTGE MEDICINA OCUPACIONAL'!L15</f>
        <v>DE 0 A 1.000</v>
      </c>
      <c r="D6" s="178" t="s">
        <v>268</v>
      </c>
      <c r="E6" s="179"/>
      <c r="F6" s="179"/>
      <c r="G6" s="180"/>
      <c r="H6" s="78" t="str">
        <f>+'RAT-MTGE MEDICINA OCUPACIONAL'!K12</f>
        <v>COMO REQUISITO DE INGRESO SE REALIZAN EXÁMENES MÉDICOS AL NUEVO INGRESO, DE MANERA PERIÓDICA A TRABAJADORES ACTIVOS Y A TODO TRABAJADOR QUE FINALICE LA RELACIÓN LABORAL. EL TIPO DE EXAMEN DEPENDERÁ DE LA MATRIZ DE RIESGO DE LA POSICIÓN QUE OCUPE EL TRABAJADOR</v>
      </c>
      <c r="I6" s="3"/>
      <c r="J6" s="4"/>
      <c r="K6" s="4"/>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6"/>
      <c r="BB6" s="6"/>
      <c r="BC6" s="6"/>
      <c r="BD6" s="6"/>
      <c r="BE6" s="6"/>
      <c r="BF6" s="6"/>
      <c r="BG6" s="6"/>
      <c r="BH6" s="6"/>
      <c r="BI6" s="6"/>
      <c r="BJ6" s="6"/>
    </row>
    <row r="7" spans="2:70" ht="9.4" customHeight="1" thickBot="1" x14ac:dyDescent="0.25">
      <c r="D7" s="3"/>
      <c r="E7" s="7"/>
      <c r="F7" s="7"/>
      <c r="G7" s="3"/>
      <c r="H7" s="17"/>
      <c r="I7" s="3"/>
      <c r="J7" s="4"/>
      <c r="K7" s="4"/>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6"/>
      <c r="BB7" s="6"/>
      <c r="BC7" s="6"/>
      <c r="BD7" s="6"/>
      <c r="BE7" s="6"/>
      <c r="BF7" s="6"/>
      <c r="BG7" s="6"/>
      <c r="BH7" s="6"/>
      <c r="BI7" s="6"/>
      <c r="BJ7" s="6"/>
    </row>
    <row r="8" spans="2:70" s="2" customFormat="1" ht="57.6" customHeight="1" x14ac:dyDescent="0.2">
      <c r="B8" s="9"/>
      <c r="C8" s="10"/>
      <c r="D8" s="81" t="s">
        <v>249</v>
      </c>
      <c r="E8" s="82" t="s">
        <v>248</v>
      </c>
      <c r="F8" s="80" t="s">
        <v>250</v>
      </c>
      <c r="G8" s="83" t="s">
        <v>247</v>
      </c>
      <c r="H8" s="11" t="s">
        <v>0</v>
      </c>
      <c r="J8" s="6"/>
      <c r="K8" s="8"/>
      <c r="L8" s="8"/>
      <c r="M8" s="8"/>
      <c r="N8" s="8"/>
      <c r="O8" s="8"/>
      <c r="Q8" s="6"/>
      <c r="R8" s="8"/>
      <c r="S8" s="8"/>
      <c r="T8" s="8"/>
      <c r="U8" s="8"/>
      <c r="W8" s="6"/>
      <c r="X8" s="8"/>
      <c r="Y8" s="8"/>
      <c r="Z8" s="8"/>
      <c r="AA8" s="8"/>
      <c r="AC8" s="6"/>
      <c r="AD8" s="8"/>
      <c r="AE8" s="8"/>
      <c r="AF8" s="8"/>
      <c r="AG8" s="8"/>
      <c r="AI8" s="6"/>
      <c r="AJ8" s="8"/>
      <c r="AK8" s="8"/>
      <c r="AL8" s="8"/>
      <c r="AM8" s="8"/>
      <c r="AO8" s="6"/>
      <c r="AP8" s="8"/>
      <c r="AQ8" s="8"/>
      <c r="AR8" s="8"/>
      <c r="AS8" s="8"/>
      <c r="AU8" s="6"/>
      <c r="AV8" s="8"/>
      <c r="AW8" s="8"/>
      <c r="AX8" s="8"/>
      <c r="AY8" s="8"/>
      <c r="BD8" s="12"/>
      <c r="BE8" s="12"/>
      <c r="BF8" s="12"/>
      <c r="BG8" s="12"/>
      <c r="BH8" s="12"/>
      <c r="BI8" s="12"/>
      <c r="BJ8" s="12"/>
      <c r="BK8" s="1"/>
      <c r="BL8" s="13"/>
      <c r="BM8" s="14"/>
      <c r="BN8" s="1"/>
      <c r="BO8" s="15"/>
      <c r="BP8" s="15"/>
      <c r="BQ8" s="15"/>
      <c r="BR8" s="15"/>
    </row>
    <row r="9" spans="2:70" s="2" customFormat="1" ht="49.15" customHeight="1" x14ac:dyDescent="0.4">
      <c r="B9" s="9"/>
      <c r="C9" s="10"/>
      <c r="D9" s="85" t="s">
        <v>264</v>
      </c>
      <c r="E9" s="86" t="s">
        <v>265</v>
      </c>
      <c r="F9" s="87" t="s">
        <v>266</v>
      </c>
      <c r="G9" s="88" t="s">
        <v>267</v>
      </c>
      <c r="H9" s="79"/>
      <c r="J9" s="6"/>
      <c r="K9" s="8"/>
      <c r="L9" s="8"/>
      <c r="M9" s="8"/>
      <c r="N9" s="8"/>
      <c r="O9" s="8"/>
      <c r="Q9" s="6"/>
      <c r="R9" s="8"/>
      <c r="S9" s="8"/>
      <c r="T9" s="8"/>
      <c r="U9" s="8"/>
      <c r="W9" s="6"/>
      <c r="X9" s="8"/>
      <c r="Y9" s="8"/>
      <c r="Z9" s="8"/>
      <c r="AA9" s="8"/>
      <c r="AC9" s="6"/>
      <c r="AD9" s="8"/>
      <c r="AE9" s="8"/>
      <c r="AF9" s="8"/>
      <c r="AG9" s="8"/>
      <c r="AI9" s="6"/>
      <c r="AJ9" s="8"/>
      <c r="AK9" s="8"/>
      <c r="AL9" s="8"/>
      <c r="AM9" s="8"/>
      <c r="AO9" s="6"/>
      <c r="AP9" s="8"/>
      <c r="AQ9" s="8"/>
      <c r="AR9" s="8"/>
      <c r="AS9" s="8"/>
      <c r="AU9" s="6"/>
      <c r="AV9" s="8"/>
      <c r="AW9" s="8"/>
      <c r="AX9" s="8"/>
      <c r="AY9" s="8"/>
      <c r="BD9" s="12"/>
      <c r="BE9" s="12"/>
      <c r="BF9" s="12"/>
      <c r="BG9" s="12"/>
      <c r="BH9" s="12"/>
      <c r="BI9" s="12"/>
      <c r="BJ9" s="12"/>
      <c r="BK9" s="1"/>
      <c r="BL9" s="13"/>
      <c r="BM9" s="14"/>
      <c r="BN9" s="1"/>
      <c r="BO9" s="15"/>
      <c r="BP9" s="15"/>
      <c r="BQ9" s="15"/>
      <c r="BR9" s="15"/>
    </row>
    <row r="10" spans="2:70" s="2" customFormat="1" ht="130.15" customHeight="1" x14ac:dyDescent="0.2">
      <c r="C10" s="12" t="s">
        <v>235</v>
      </c>
      <c r="D10" s="59"/>
      <c r="E10" s="59"/>
      <c r="F10" s="59" t="s">
        <v>207</v>
      </c>
      <c r="G10" s="59"/>
      <c r="H10" s="61" t="s">
        <v>284</v>
      </c>
      <c r="I10" s="75">
        <f>IFERROR(_xlfn.IFS(D10="BRECHA IDENTIFICADA. NO HECHA PÚBLICA. DATOS BÁSICOS. MENOS DE 100 TITULARES. SG-PDP VALIDADO Y MANTENIDO. GRC ARTICULADO Y REFRESCADO",1,E10="BRECHA IDENTIFICADA. NO HECHA PÚBLICA. DATOS BÁSICOS. MAS DE 100 TITULARES. SG-PDP VALIDADO EN FASE PROYECTO. SE TRABAJA  47 LOPDP. GRC ARTICULADO",2,F10="BRECHA IDENTIFICADA. HECHA PÚBLICA. DATOS ESPECIALES. MAS DE 100 TITULARES. NO HAY PROYECTO SG-PDP. NO SE TRABAJA  47 LOPDP. HAY GRC DESARTICULADO.",3,G10="BRECHA IDENTIFICADA. HECHA PÚBLICA. DATOS ESPECIALES. MAS DE 100 TITULARES. NO HAY PROYECTO SG-PDP. NO HAY GRC.",4),0)</f>
        <v>3</v>
      </c>
      <c r="J10" s="6"/>
      <c r="K10" s="16"/>
      <c r="L10" s="16"/>
      <c r="M10" s="16"/>
      <c r="N10" s="16"/>
      <c r="O10" s="16"/>
      <c r="P10" s="6"/>
      <c r="Q10" s="6"/>
      <c r="R10" s="16"/>
      <c r="S10" s="16"/>
      <c r="T10" s="16"/>
      <c r="U10" s="16"/>
      <c r="V10" s="6"/>
      <c r="W10" s="6"/>
      <c r="X10" s="16"/>
      <c r="Y10" s="16"/>
      <c r="Z10" s="16"/>
      <c r="AA10" s="16"/>
      <c r="AB10" s="6"/>
      <c r="AC10" s="6"/>
      <c r="AD10" s="16"/>
      <c r="AE10" s="16"/>
      <c r="AF10" s="16"/>
      <c r="AG10" s="16"/>
      <c r="AH10" s="6"/>
      <c r="AI10" s="6"/>
      <c r="AJ10" s="16"/>
      <c r="AK10" s="16"/>
      <c r="AL10" s="16"/>
      <c r="AM10" s="16"/>
      <c r="AN10" s="6"/>
      <c r="AO10" s="6"/>
      <c r="AP10" s="16"/>
      <c r="AQ10" s="16"/>
      <c r="AR10" s="16"/>
      <c r="AS10" s="16"/>
      <c r="AT10" s="6"/>
      <c r="AU10" s="6"/>
      <c r="AV10" s="16"/>
      <c r="AW10" s="16"/>
      <c r="AX10" s="16"/>
      <c r="AY10" s="16"/>
      <c r="AZ10" s="6"/>
      <c r="BD10" s="12"/>
      <c r="BE10" s="12"/>
      <c r="BF10" s="12"/>
      <c r="BG10" s="12"/>
      <c r="BH10" s="12"/>
      <c r="BI10" s="12"/>
      <c r="BJ10" s="12"/>
      <c r="BK10" s="1"/>
      <c r="BL10" s="13"/>
      <c r="BM10" s="14"/>
      <c r="BN10" s="1"/>
      <c r="BO10" s="15"/>
      <c r="BP10" s="15"/>
      <c r="BQ10" s="15"/>
      <c r="BR10" s="15"/>
    </row>
    <row r="11" spans="2:70" s="2" customFormat="1" ht="135.6" customHeight="1" x14ac:dyDescent="0.2">
      <c r="B11" s="176" t="s">
        <v>6</v>
      </c>
      <c r="C11" s="12" t="s">
        <v>236</v>
      </c>
      <c r="D11" s="59"/>
      <c r="E11" s="59"/>
      <c r="F11" s="59" t="s">
        <v>207</v>
      </c>
      <c r="G11" s="59"/>
      <c r="H11" s="61" t="s">
        <v>262</v>
      </c>
      <c r="I11" s="75">
        <f t="shared" ref="I11:I21" si="0">IFERROR(_xlfn.IFS(D11="BRECHA IDENTIFICADA. NO HECHA PÚBLICA. DATOS BÁSICOS. MENOS DE 100 TITULARES. SG-PDP VALIDADO Y MANTENIDO. GRC ARTICULADO Y REFRESCADO",1,E11="BRECHA IDENTIFICADA. NO HECHA PÚBLICA. DATOS BÁSICOS. MAS DE 100 TITULARES. SG-PDP VALIDADO EN FASE PROYECTO. SE TRABAJA  47 LOPDP. GRC ARTICULADO",2,F11="BRECHA IDENTIFICADA. HECHA PÚBLICA. DATOS ESPECIALES. MAS DE 100 TITULARES. NO HAY PROYECTO SG-PDP. NO SE TRABAJA  47 LOPDP. HAY GRC DESARTICULADO.",3,G11="BRECHA IDENTIFICADA. HECHA PÚBLICA. DATOS ESPECIALES. MAS DE 100 TITULARES. NO HAY PROYECTO SG-PDP. NO HAY GRC.",4),0)</f>
        <v>3</v>
      </c>
      <c r="J11" s="6"/>
      <c r="K11" s="16"/>
      <c r="L11" s="10"/>
      <c r="M11" s="10"/>
      <c r="N11" s="10"/>
      <c r="O11" s="10"/>
      <c r="P11" s="6"/>
      <c r="Q11" s="6"/>
      <c r="R11" s="10"/>
      <c r="S11" s="10"/>
      <c r="T11" s="10"/>
      <c r="U11" s="10"/>
      <c r="V11" s="6"/>
      <c r="W11" s="6"/>
      <c r="X11" s="10"/>
      <c r="Y11" s="10"/>
      <c r="Z11" s="10"/>
      <c r="AA11" s="10"/>
      <c r="AB11" s="6"/>
      <c r="AC11" s="6"/>
      <c r="AD11" s="10"/>
      <c r="AE11" s="10"/>
      <c r="AF11" s="10"/>
      <c r="AG11" s="10"/>
      <c r="AH11" s="6"/>
      <c r="AI11" s="6"/>
      <c r="AJ11" s="10"/>
      <c r="AK11" s="10"/>
      <c r="AL11" s="10"/>
      <c r="AM11" s="10"/>
      <c r="AN11" s="6"/>
      <c r="AO11" s="6"/>
      <c r="AP11" s="10"/>
      <c r="AQ11" s="10"/>
      <c r="AR11" s="10"/>
      <c r="AS11" s="10"/>
      <c r="AT11" s="6"/>
      <c r="AU11" s="6"/>
      <c r="AV11" s="10"/>
      <c r="AW11" s="10"/>
      <c r="AX11" s="10"/>
      <c r="AY11" s="10"/>
      <c r="AZ11" s="6"/>
      <c r="BD11" s="12"/>
      <c r="BE11" s="12"/>
      <c r="BF11" s="12"/>
      <c r="BG11" s="12"/>
      <c r="BH11" s="12"/>
      <c r="BI11" s="12"/>
      <c r="BJ11" s="12"/>
      <c r="BK11" s="1"/>
      <c r="BL11" s="13"/>
      <c r="BM11" s="14"/>
      <c r="BN11" s="1"/>
      <c r="BO11" s="15"/>
      <c r="BP11" s="15"/>
      <c r="BQ11" s="15"/>
      <c r="BR11" s="15"/>
    </row>
    <row r="12" spans="2:70" s="2" customFormat="1" ht="119.45" customHeight="1" x14ac:dyDescent="0.2">
      <c r="B12" s="176"/>
      <c r="C12" s="12" t="s">
        <v>237</v>
      </c>
      <c r="D12" s="59"/>
      <c r="E12" s="59"/>
      <c r="F12" s="59"/>
      <c r="G12" s="59"/>
      <c r="H12" s="61"/>
      <c r="I12" s="75">
        <f t="shared" si="0"/>
        <v>0</v>
      </c>
      <c r="J12" s="6"/>
      <c r="K12" s="16"/>
      <c r="L12" s="10"/>
      <c r="M12" s="10"/>
      <c r="N12" s="10"/>
      <c r="O12" s="10"/>
      <c r="P12" s="6"/>
      <c r="Q12" s="6"/>
      <c r="R12" s="10"/>
      <c r="S12" s="10"/>
      <c r="T12" s="10"/>
      <c r="U12" s="10"/>
      <c r="V12" s="6"/>
      <c r="W12" s="6"/>
      <c r="X12" s="10"/>
      <c r="Y12" s="10"/>
      <c r="Z12" s="10"/>
      <c r="AA12" s="10"/>
      <c r="AB12" s="6"/>
      <c r="AC12" s="6"/>
      <c r="AD12" s="10"/>
      <c r="AE12" s="10"/>
      <c r="AF12" s="10"/>
      <c r="AG12" s="10"/>
      <c r="AH12" s="6"/>
      <c r="AI12" s="6"/>
      <c r="AJ12" s="10"/>
      <c r="AK12" s="10"/>
      <c r="AL12" s="10"/>
      <c r="AM12" s="10"/>
      <c r="AN12" s="6"/>
      <c r="AO12" s="6"/>
      <c r="AP12" s="10"/>
      <c r="AQ12" s="10"/>
      <c r="AR12" s="10"/>
      <c r="AS12" s="10"/>
      <c r="AT12" s="6"/>
      <c r="AU12" s="6"/>
      <c r="AV12" s="10"/>
      <c r="AW12" s="10"/>
      <c r="AX12" s="10"/>
      <c r="AY12" s="10"/>
      <c r="AZ12" s="6"/>
      <c r="BD12" s="12"/>
      <c r="BE12" s="12"/>
      <c r="BF12" s="12"/>
      <c r="BG12" s="12"/>
      <c r="BH12" s="12"/>
      <c r="BI12" s="12"/>
      <c r="BJ12" s="12"/>
      <c r="BK12" s="1"/>
      <c r="BL12" s="13"/>
      <c r="BM12" s="14"/>
      <c r="BN12" s="1"/>
      <c r="BO12" s="15"/>
      <c r="BP12" s="15"/>
      <c r="BQ12" s="15"/>
      <c r="BR12" s="15"/>
    </row>
    <row r="13" spans="2:70" s="2" customFormat="1" ht="134.44999999999999" customHeight="1" x14ac:dyDescent="0.2">
      <c r="B13" s="176"/>
      <c r="C13" s="12" t="s">
        <v>238</v>
      </c>
      <c r="D13" s="59"/>
      <c r="E13" s="59"/>
      <c r="F13" s="59"/>
      <c r="G13" s="59"/>
      <c r="H13" s="61"/>
      <c r="I13" s="75">
        <f t="shared" si="0"/>
        <v>0</v>
      </c>
      <c r="J13" s="6"/>
      <c r="K13" s="16"/>
      <c r="L13" s="10"/>
      <c r="M13" s="10"/>
      <c r="N13" s="10"/>
      <c r="O13" s="10"/>
      <c r="P13" s="6"/>
      <c r="Q13" s="6"/>
      <c r="R13" s="10"/>
      <c r="S13" s="10"/>
      <c r="T13" s="10"/>
      <c r="U13" s="10"/>
      <c r="V13" s="6"/>
      <c r="W13" s="6"/>
      <c r="X13" s="10"/>
      <c r="Y13" s="10"/>
      <c r="Z13" s="10"/>
      <c r="AA13" s="10"/>
      <c r="AB13" s="6"/>
      <c r="AC13" s="6"/>
      <c r="AD13" s="10"/>
      <c r="AE13" s="10"/>
      <c r="AF13" s="10"/>
      <c r="AG13" s="10"/>
      <c r="AH13" s="6"/>
      <c r="AI13" s="6"/>
      <c r="AJ13" s="10"/>
      <c r="AK13" s="10"/>
      <c r="AL13" s="10"/>
      <c r="AM13" s="10"/>
      <c r="AN13" s="6"/>
      <c r="AO13" s="6"/>
      <c r="AP13" s="10"/>
      <c r="AQ13" s="10"/>
      <c r="AR13" s="10"/>
      <c r="AS13" s="10"/>
      <c r="AT13" s="6"/>
      <c r="AU13" s="6"/>
      <c r="AV13" s="10"/>
      <c r="AW13" s="10"/>
      <c r="AX13" s="10"/>
      <c r="AY13" s="10"/>
      <c r="AZ13" s="6"/>
      <c r="BD13" s="12"/>
      <c r="BE13" s="12"/>
      <c r="BF13" s="12"/>
      <c r="BG13" s="12"/>
      <c r="BH13" s="12"/>
      <c r="BI13" s="12"/>
      <c r="BJ13" s="12"/>
      <c r="BK13" s="1"/>
      <c r="BL13" s="13"/>
      <c r="BM13" s="14"/>
      <c r="BN13" s="1"/>
      <c r="BO13" s="15"/>
      <c r="BP13" s="15"/>
      <c r="BQ13" s="15"/>
      <c r="BR13" s="15"/>
    </row>
    <row r="14" spans="2:70" s="2" customFormat="1" ht="114.6" customHeight="1" x14ac:dyDescent="0.2">
      <c r="B14" s="176"/>
      <c r="C14" s="12" t="s">
        <v>239</v>
      </c>
      <c r="D14" s="59"/>
      <c r="E14" s="59"/>
      <c r="F14" s="59"/>
      <c r="G14" s="59"/>
      <c r="H14" s="61"/>
      <c r="I14" s="75">
        <f t="shared" si="0"/>
        <v>0</v>
      </c>
      <c r="J14" s="6"/>
      <c r="L14" s="10"/>
      <c r="M14" s="10"/>
      <c r="N14" s="10"/>
      <c r="O14" s="10"/>
      <c r="P14" s="6"/>
      <c r="Q14" s="6"/>
      <c r="R14" s="10"/>
      <c r="S14" s="10"/>
      <c r="T14" s="10"/>
      <c r="U14" s="10"/>
      <c r="V14" s="6"/>
      <c r="W14" s="6"/>
      <c r="X14" s="10"/>
      <c r="Y14" s="10"/>
      <c r="Z14" s="10"/>
      <c r="AA14" s="10"/>
      <c r="AB14" s="6"/>
      <c r="AC14" s="6"/>
      <c r="AD14" s="10"/>
      <c r="AE14" s="10"/>
      <c r="AF14" s="10"/>
      <c r="AG14" s="10"/>
      <c r="AH14" s="6"/>
      <c r="AI14" s="6"/>
      <c r="AJ14" s="10"/>
      <c r="AK14" s="10"/>
      <c r="AL14" s="10"/>
      <c r="AM14" s="10"/>
      <c r="AN14" s="6"/>
      <c r="AO14" s="6"/>
      <c r="AP14" s="10"/>
      <c r="AQ14" s="10"/>
      <c r="AR14" s="10"/>
      <c r="AS14" s="10"/>
      <c r="AT14" s="6"/>
      <c r="AU14" s="6"/>
      <c r="AV14" s="10"/>
      <c r="AW14" s="10"/>
      <c r="AX14" s="10"/>
      <c r="AY14" s="10"/>
      <c r="AZ14" s="6"/>
      <c r="BD14" s="12"/>
      <c r="BE14" s="12"/>
      <c r="BF14" s="12"/>
      <c r="BG14" s="12"/>
      <c r="BH14" s="12"/>
      <c r="BI14" s="12"/>
      <c r="BJ14" s="12"/>
      <c r="BK14" s="1"/>
      <c r="BL14" s="13"/>
      <c r="BM14" s="14"/>
      <c r="BN14" s="1"/>
      <c r="BO14" s="15"/>
      <c r="BP14" s="15"/>
      <c r="BQ14" s="15"/>
      <c r="BR14" s="15"/>
    </row>
    <row r="15" spans="2:70" s="2" customFormat="1" ht="109.15" customHeight="1" x14ac:dyDescent="0.2">
      <c r="B15" s="176"/>
      <c r="C15" s="12" t="s">
        <v>240</v>
      </c>
      <c r="D15" s="59"/>
      <c r="E15" s="59"/>
      <c r="F15" s="59"/>
      <c r="G15" s="59"/>
      <c r="H15" s="61"/>
      <c r="I15" s="75">
        <f t="shared" si="0"/>
        <v>0</v>
      </c>
      <c r="J15" s="6"/>
      <c r="L15" s="10"/>
      <c r="M15" s="10"/>
      <c r="N15" s="10"/>
      <c r="O15" s="10"/>
      <c r="P15" s="6"/>
      <c r="Q15" s="6"/>
      <c r="R15" s="10"/>
      <c r="S15" s="10"/>
      <c r="T15" s="10"/>
      <c r="U15" s="10"/>
      <c r="V15" s="6"/>
      <c r="W15" s="6"/>
      <c r="X15" s="10"/>
      <c r="Y15" s="10"/>
      <c r="Z15" s="10"/>
      <c r="AA15" s="10"/>
      <c r="AB15" s="6"/>
      <c r="AC15" s="6"/>
      <c r="AD15" s="10"/>
      <c r="AE15" s="10"/>
      <c r="AF15" s="10"/>
      <c r="AG15" s="10"/>
      <c r="AH15" s="6"/>
      <c r="AI15" s="6"/>
      <c r="AJ15" s="10"/>
      <c r="AK15" s="10"/>
      <c r="AL15" s="10"/>
      <c r="AM15" s="10"/>
      <c r="AN15" s="6"/>
      <c r="AO15" s="6"/>
      <c r="AP15" s="10"/>
      <c r="AQ15" s="10"/>
      <c r="AR15" s="10"/>
      <c r="AS15" s="10"/>
      <c r="AT15" s="6"/>
      <c r="AU15" s="6"/>
      <c r="AV15" s="10"/>
      <c r="AW15" s="10"/>
      <c r="AX15" s="10"/>
      <c r="AY15" s="10"/>
      <c r="AZ15" s="6"/>
      <c r="BD15" s="12"/>
      <c r="BE15" s="12"/>
      <c r="BF15" s="12"/>
      <c r="BG15" s="12"/>
      <c r="BH15" s="12"/>
      <c r="BI15" s="12"/>
      <c r="BJ15" s="12"/>
      <c r="BK15" s="1"/>
      <c r="BL15" s="13"/>
      <c r="BM15" s="14"/>
      <c r="BN15" s="1"/>
      <c r="BO15" s="15"/>
      <c r="BP15" s="15"/>
      <c r="BQ15" s="15"/>
      <c r="BR15" s="15"/>
    </row>
    <row r="16" spans="2:70" s="2" customFormat="1" ht="150" customHeight="1" x14ac:dyDescent="0.2">
      <c r="B16" s="176"/>
      <c r="C16" s="12" t="s">
        <v>241</v>
      </c>
      <c r="D16" s="59"/>
      <c r="E16" s="59"/>
      <c r="F16" s="59"/>
      <c r="G16" s="59"/>
      <c r="H16" s="61"/>
      <c r="I16" s="75">
        <f t="shared" si="0"/>
        <v>0</v>
      </c>
      <c r="J16" s="6"/>
      <c r="L16" s="10"/>
      <c r="M16" s="10"/>
      <c r="N16" s="10"/>
      <c r="O16" s="10"/>
      <c r="P16" s="6"/>
      <c r="Q16" s="6"/>
      <c r="R16" s="10"/>
      <c r="S16" s="10"/>
      <c r="T16" s="10"/>
      <c r="U16" s="10"/>
      <c r="V16" s="6"/>
      <c r="W16" s="6"/>
      <c r="X16" s="10"/>
      <c r="Y16" s="10"/>
      <c r="Z16" s="10"/>
      <c r="AA16" s="10"/>
      <c r="AB16" s="6"/>
      <c r="AC16" s="6"/>
      <c r="AD16" s="10"/>
      <c r="AE16" s="10"/>
      <c r="AF16" s="10"/>
      <c r="AG16" s="10"/>
      <c r="AH16" s="6"/>
      <c r="AI16" s="6"/>
      <c r="AJ16" s="10"/>
      <c r="AK16" s="10"/>
      <c r="AL16" s="10"/>
      <c r="AM16" s="10"/>
      <c r="AN16" s="6"/>
      <c r="AO16" s="6"/>
      <c r="AP16" s="10"/>
      <c r="AQ16" s="10"/>
      <c r="AR16" s="10"/>
      <c r="AS16" s="10"/>
      <c r="AT16" s="6"/>
      <c r="AU16" s="6"/>
      <c r="AV16" s="10"/>
      <c r="AW16" s="10"/>
      <c r="AX16" s="10"/>
      <c r="AY16" s="10"/>
      <c r="AZ16" s="6"/>
      <c r="BD16" s="12"/>
      <c r="BE16" s="12"/>
      <c r="BF16" s="12"/>
      <c r="BG16" s="12"/>
      <c r="BH16" s="12"/>
      <c r="BI16" s="12"/>
      <c r="BJ16" s="12"/>
      <c r="BK16" s="1"/>
      <c r="BL16" s="13"/>
      <c r="BM16" s="14"/>
      <c r="BN16" s="1"/>
      <c r="BO16" s="15"/>
      <c r="BP16" s="15"/>
      <c r="BQ16" s="15"/>
      <c r="BR16" s="15"/>
    </row>
    <row r="17" spans="2:70" s="2" customFormat="1" ht="124.15" customHeight="1" x14ac:dyDescent="0.2">
      <c r="B17" s="176"/>
      <c r="C17" s="12" t="s">
        <v>242</v>
      </c>
      <c r="D17" s="59"/>
      <c r="E17" s="59"/>
      <c r="F17" s="59"/>
      <c r="G17" s="59"/>
      <c r="H17" s="61"/>
      <c r="I17" s="75">
        <f t="shared" si="0"/>
        <v>0</v>
      </c>
      <c r="J17" s="6"/>
      <c r="L17" s="10"/>
      <c r="M17" s="10"/>
      <c r="N17" s="10"/>
      <c r="O17" s="10"/>
      <c r="P17" s="6"/>
      <c r="Q17" s="6"/>
      <c r="R17" s="10"/>
      <c r="S17" s="10"/>
      <c r="T17" s="10"/>
      <c r="U17" s="10"/>
      <c r="V17" s="6"/>
      <c r="W17" s="6"/>
      <c r="X17" s="10"/>
      <c r="Y17" s="10"/>
      <c r="Z17" s="10"/>
      <c r="AA17" s="10"/>
      <c r="AB17" s="6"/>
      <c r="AC17" s="6"/>
      <c r="AD17" s="10"/>
      <c r="AE17" s="10"/>
      <c r="AF17" s="10"/>
      <c r="AG17" s="10"/>
      <c r="AH17" s="6"/>
      <c r="AI17" s="6"/>
      <c r="AJ17" s="10"/>
      <c r="AK17" s="10"/>
      <c r="AL17" s="10"/>
      <c r="AM17" s="10"/>
      <c r="AN17" s="6"/>
      <c r="AO17" s="6"/>
      <c r="AP17" s="10"/>
      <c r="AQ17" s="10"/>
      <c r="AR17" s="10"/>
      <c r="AS17" s="10"/>
      <c r="AT17" s="6"/>
      <c r="AU17" s="6"/>
      <c r="AV17" s="10"/>
      <c r="AW17" s="10"/>
      <c r="AX17" s="10"/>
      <c r="AY17" s="10"/>
      <c r="AZ17" s="6"/>
      <c r="BD17" s="12"/>
      <c r="BE17" s="12"/>
      <c r="BF17" s="12"/>
      <c r="BG17" s="12"/>
      <c r="BH17" s="12"/>
      <c r="BI17" s="12"/>
      <c r="BJ17" s="12"/>
      <c r="BK17" s="1"/>
      <c r="BL17" s="13"/>
      <c r="BM17" s="14"/>
      <c r="BN17" s="1"/>
      <c r="BO17" s="15"/>
      <c r="BP17" s="15"/>
      <c r="BQ17" s="15"/>
      <c r="BR17" s="15"/>
    </row>
    <row r="18" spans="2:70" s="2" customFormat="1" ht="112.9" customHeight="1" x14ac:dyDescent="0.2">
      <c r="B18" s="176"/>
      <c r="C18" s="12" t="s">
        <v>243</v>
      </c>
      <c r="D18" s="59"/>
      <c r="E18" s="59"/>
      <c r="F18" s="59"/>
      <c r="G18" s="59"/>
      <c r="H18" s="61"/>
      <c r="I18" s="75">
        <f t="shared" si="0"/>
        <v>0</v>
      </c>
      <c r="J18" s="6"/>
      <c r="L18" s="10"/>
      <c r="M18" s="10"/>
      <c r="N18" s="10"/>
      <c r="O18" s="10"/>
      <c r="P18" s="6"/>
      <c r="Q18" s="6"/>
      <c r="R18" s="10"/>
      <c r="S18" s="10"/>
      <c r="T18" s="10"/>
      <c r="U18" s="10"/>
      <c r="V18" s="6"/>
      <c r="W18" s="6"/>
      <c r="X18" s="10"/>
      <c r="Y18" s="10"/>
      <c r="Z18" s="10"/>
      <c r="AA18" s="10"/>
      <c r="AB18" s="6"/>
      <c r="AC18" s="6"/>
      <c r="AD18" s="10"/>
      <c r="AE18" s="10"/>
      <c r="AF18" s="10"/>
      <c r="AG18" s="10"/>
      <c r="AH18" s="6"/>
      <c r="AI18" s="6"/>
      <c r="AJ18" s="10"/>
      <c r="AK18" s="10"/>
      <c r="AL18" s="10"/>
      <c r="AM18" s="10"/>
      <c r="AN18" s="6"/>
      <c r="AO18" s="6"/>
      <c r="AP18" s="10"/>
      <c r="AQ18" s="10"/>
      <c r="AR18" s="10"/>
      <c r="AS18" s="10"/>
      <c r="AT18" s="6"/>
      <c r="AU18" s="6"/>
      <c r="AV18" s="10"/>
      <c r="AW18" s="10"/>
      <c r="AX18" s="10"/>
      <c r="AY18" s="10"/>
      <c r="AZ18" s="6"/>
      <c r="BD18" s="12"/>
      <c r="BE18" s="12"/>
      <c r="BF18" s="12"/>
      <c r="BG18" s="12"/>
      <c r="BH18" s="12"/>
      <c r="BI18" s="12"/>
      <c r="BJ18" s="12"/>
      <c r="BK18" s="1"/>
      <c r="BL18" s="13"/>
      <c r="BM18" s="14"/>
      <c r="BN18" s="1"/>
      <c r="BO18" s="15"/>
      <c r="BP18" s="15"/>
      <c r="BQ18" s="15"/>
      <c r="BR18" s="15"/>
    </row>
    <row r="19" spans="2:70" s="2" customFormat="1" ht="108.6" customHeight="1" x14ac:dyDescent="0.2">
      <c r="B19" s="176"/>
      <c r="C19" s="12" t="s">
        <v>245</v>
      </c>
      <c r="D19" s="59"/>
      <c r="E19" s="59"/>
      <c r="F19" s="59"/>
      <c r="G19" s="59"/>
      <c r="H19" s="61"/>
      <c r="I19" s="75">
        <f t="shared" si="0"/>
        <v>0</v>
      </c>
      <c r="J19" s="6"/>
      <c r="K19" s="10"/>
      <c r="L19" s="10"/>
      <c r="M19" s="10"/>
      <c r="N19" s="10"/>
      <c r="O19" s="10"/>
      <c r="P19" s="6"/>
      <c r="Q19" s="6"/>
      <c r="R19" s="10"/>
      <c r="S19" s="10"/>
      <c r="T19" s="10"/>
      <c r="U19" s="10"/>
      <c r="V19" s="6"/>
      <c r="W19" s="6"/>
      <c r="X19" s="10"/>
      <c r="Y19" s="10"/>
      <c r="Z19" s="10"/>
      <c r="AA19" s="10"/>
      <c r="AB19" s="6"/>
      <c r="AC19" s="6"/>
      <c r="AD19" s="10"/>
      <c r="AE19" s="10"/>
      <c r="AF19" s="10"/>
      <c r="AG19" s="10"/>
      <c r="AH19" s="6"/>
      <c r="AI19" s="6"/>
      <c r="AJ19" s="10"/>
      <c r="AK19" s="10"/>
      <c r="AL19" s="10"/>
      <c r="AM19" s="10"/>
      <c r="AN19" s="6"/>
      <c r="AO19" s="6"/>
      <c r="AP19" s="10"/>
      <c r="AQ19" s="10"/>
      <c r="AR19" s="10"/>
      <c r="AS19" s="10"/>
      <c r="AT19" s="6"/>
      <c r="AU19" s="6"/>
      <c r="AV19" s="10"/>
      <c r="AW19" s="10"/>
      <c r="AX19" s="10"/>
      <c r="AY19" s="10"/>
      <c r="AZ19" s="6"/>
      <c r="BD19" s="12"/>
      <c r="BE19" s="12"/>
      <c r="BF19" s="12"/>
      <c r="BG19" s="12"/>
      <c r="BH19" s="12"/>
      <c r="BI19" s="12"/>
      <c r="BJ19" s="12"/>
      <c r="BK19" s="1"/>
      <c r="BL19" s="13"/>
      <c r="BM19" s="14"/>
      <c r="BN19" s="1"/>
      <c r="BO19" s="15"/>
      <c r="BP19" s="15"/>
      <c r="BQ19" s="15"/>
      <c r="BR19" s="15"/>
    </row>
    <row r="20" spans="2:70" s="2" customFormat="1" ht="107.45" customHeight="1" x14ac:dyDescent="0.2">
      <c r="B20" s="176"/>
      <c r="C20" s="12" t="s">
        <v>244</v>
      </c>
      <c r="D20" s="59"/>
      <c r="E20" s="59"/>
      <c r="F20" s="59"/>
      <c r="G20" s="59"/>
      <c r="H20" s="61"/>
      <c r="I20" s="75">
        <f t="shared" si="0"/>
        <v>0</v>
      </c>
      <c r="J20" s="6"/>
      <c r="K20" s="10"/>
      <c r="L20" s="10"/>
      <c r="M20" s="10"/>
      <c r="N20" s="10"/>
      <c r="O20" s="10"/>
      <c r="P20" s="6"/>
      <c r="Q20" s="6"/>
      <c r="R20" s="10"/>
      <c r="S20" s="10"/>
      <c r="T20" s="10"/>
      <c r="U20" s="10"/>
      <c r="V20" s="6"/>
      <c r="W20" s="6"/>
      <c r="X20" s="10"/>
      <c r="Y20" s="10"/>
      <c r="Z20" s="10"/>
      <c r="AA20" s="10"/>
      <c r="AB20" s="6"/>
      <c r="AC20" s="6"/>
      <c r="AD20" s="10"/>
      <c r="AE20" s="10"/>
      <c r="AF20" s="10"/>
      <c r="AG20" s="10"/>
      <c r="AH20" s="6"/>
      <c r="AI20" s="6"/>
      <c r="AJ20" s="10"/>
      <c r="AK20" s="10"/>
      <c r="AL20" s="10"/>
      <c r="AM20" s="10"/>
      <c r="AN20" s="6"/>
      <c r="AO20" s="6"/>
      <c r="AP20" s="10"/>
      <c r="AQ20" s="10"/>
      <c r="AR20" s="10"/>
      <c r="AS20" s="10"/>
      <c r="AT20" s="6"/>
      <c r="AU20" s="6"/>
      <c r="AV20" s="10"/>
      <c r="AW20" s="10"/>
      <c r="AX20" s="10"/>
      <c r="AY20" s="10"/>
      <c r="AZ20" s="6"/>
      <c r="BD20" s="12"/>
      <c r="BE20" s="12"/>
      <c r="BF20" s="12"/>
      <c r="BG20" s="12"/>
      <c r="BH20" s="12"/>
      <c r="BI20" s="12"/>
      <c r="BJ20" s="12"/>
      <c r="BK20" s="1"/>
      <c r="BL20" s="13"/>
      <c r="BM20" s="14"/>
      <c r="BN20" s="1"/>
      <c r="BO20" s="15"/>
      <c r="BP20" s="15"/>
      <c r="BQ20" s="15"/>
      <c r="BR20" s="15"/>
    </row>
    <row r="21" spans="2:70" s="2" customFormat="1" ht="115.15" customHeight="1" x14ac:dyDescent="0.2">
      <c r="C21" s="12" t="s">
        <v>246</v>
      </c>
      <c r="D21" s="59"/>
      <c r="E21" s="59"/>
      <c r="F21" s="59"/>
      <c r="G21" s="59"/>
      <c r="H21" s="61"/>
      <c r="I21" s="75">
        <f t="shared" si="0"/>
        <v>0</v>
      </c>
      <c r="J21" s="6"/>
      <c r="K21" s="10"/>
      <c r="L21" s="10"/>
      <c r="M21" s="10"/>
      <c r="N21" s="10"/>
      <c r="O21" s="10"/>
      <c r="P21" s="6"/>
      <c r="Q21" s="6"/>
      <c r="R21" s="10"/>
      <c r="S21" s="10"/>
      <c r="T21" s="10"/>
      <c r="U21" s="10"/>
      <c r="V21" s="6"/>
      <c r="W21" s="6"/>
      <c r="X21" s="10"/>
      <c r="Y21" s="10"/>
      <c r="Z21" s="10"/>
      <c r="AA21" s="10"/>
      <c r="AB21" s="6"/>
      <c r="AC21" s="6"/>
      <c r="AD21" s="10"/>
      <c r="AE21" s="10"/>
      <c r="AF21" s="10"/>
      <c r="AG21" s="10"/>
      <c r="AH21" s="6"/>
      <c r="AI21" s="6"/>
      <c r="AJ21" s="10"/>
      <c r="AK21" s="10"/>
      <c r="AL21" s="10"/>
      <c r="AM21" s="10"/>
      <c r="AN21" s="6"/>
      <c r="AO21" s="6"/>
      <c r="AP21" s="10"/>
      <c r="AQ21" s="10"/>
      <c r="AR21" s="10"/>
      <c r="AS21" s="10"/>
      <c r="AT21" s="6"/>
      <c r="AU21" s="6"/>
      <c r="AV21" s="10"/>
      <c r="AW21" s="10"/>
      <c r="AX21" s="10"/>
      <c r="AY21" s="10"/>
      <c r="AZ21" s="6"/>
      <c r="BD21" s="12"/>
      <c r="BE21" s="12"/>
      <c r="BF21" s="12"/>
      <c r="BG21" s="12"/>
      <c r="BH21" s="12"/>
      <c r="BI21" s="12"/>
      <c r="BJ21" s="12"/>
      <c r="BK21" s="1"/>
      <c r="BL21" s="13"/>
      <c r="BM21" s="14"/>
      <c r="BN21" s="1"/>
      <c r="BO21" s="15"/>
      <c r="BP21" s="15"/>
      <c r="BQ21" s="15"/>
      <c r="BR21" s="15"/>
    </row>
    <row r="22" spans="2:70" s="2" customFormat="1" ht="45.6" customHeight="1" x14ac:dyDescent="0.2">
      <c r="C22" s="10"/>
      <c r="D22" s="16"/>
      <c r="E22" s="16"/>
      <c r="F22" s="16"/>
      <c r="G22" s="177" t="s">
        <v>67</v>
      </c>
      <c r="H22" s="177"/>
      <c r="I22" s="74">
        <f>AVERAGEIF(I10:I21,"&lt;&gt;0")</f>
        <v>3</v>
      </c>
      <c r="J22" s="6"/>
      <c r="K22" s="10"/>
      <c r="L22" s="10"/>
      <c r="M22" s="10"/>
      <c r="N22" s="10"/>
      <c r="O22" s="10"/>
      <c r="P22" s="6"/>
      <c r="Q22" s="6"/>
      <c r="R22" s="10"/>
      <c r="S22" s="10"/>
      <c r="T22" s="10"/>
      <c r="U22" s="10"/>
      <c r="V22" s="6"/>
      <c r="W22" s="6"/>
      <c r="X22" s="10"/>
      <c r="Y22" s="10"/>
      <c r="Z22" s="10"/>
      <c r="AA22" s="10"/>
      <c r="AB22" s="6"/>
      <c r="AC22" s="6"/>
      <c r="AD22" s="10"/>
      <c r="AE22" s="10"/>
      <c r="AF22" s="10"/>
      <c r="AG22" s="10"/>
      <c r="AH22" s="6"/>
      <c r="AI22" s="6"/>
      <c r="AJ22" s="10"/>
      <c r="AK22" s="10"/>
      <c r="AL22" s="10"/>
      <c r="AM22" s="10"/>
      <c r="AN22" s="6"/>
      <c r="AO22" s="6"/>
      <c r="AP22" s="10"/>
      <c r="AQ22" s="10"/>
      <c r="AR22" s="10"/>
      <c r="AS22" s="10"/>
      <c r="AT22" s="6"/>
      <c r="AU22" s="6"/>
      <c r="AV22" s="10"/>
      <c r="AW22" s="10"/>
      <c r="AX22" s="10"/>
      <c r="AY22" s="10"/>
      <c r="AZ22" s="6"/>
      <c r="BD22" s="12"/>
      <c r="BE22" s="12"/>
      <c r="BF22" s="12"/>
      <c r="BG22" s="12"/>
      <c r="BH22" s="12"/>
      <c r="BI22" s="12"/>
      <c r="BJ22" s="12"/>
      <c r="BK22" s="1"/>
      <c r="BL22" s="13"/>
      <c r="BM22" s="14"/>
      <c r="BN22" s="1"/>
      <c r="BO22" s="15"/>
      <c r="BP22" s="15"/>
      <c r="BQ22" s="15"/>
      <c r="BR22" s="15"/>
    </row>
    <row r="23" spans="2:70" ht="73.150000000000006" customHeight="1" x14ac:dyDescent="0.2">
      <c r="K23" s="10"/>
    </row>
    <row r="24" spans="2:70" ht="73.150000000000006" customHeight="1" x14ac:dyDescent="0.2">
      <c r="K24" s="10"/>
    </row>
    <row r="25" spans="2:70" ht="73.150000000000006" customHeight="1" x14ac:dyDescent="0.2">
      <c r="K25" s="10"/>
    </row>
    <row r="26" spans="2:70" ht="73.150000000000006" customHeight="1" x14ac:dyDescent="0.2">
      <c r="K26" s="10"/>
    </row>
    <row r="27" spans="2:70" ht="73.150000000000006" customHeight="1" x14ac:dyDescent="0.2">
      <c r="K27" s="10"/>
    </row>
  </sheetData>
  <sheetProtection algorithmName="SHA-512" hashValue="lXlxv+IZci3Q+l/EAV1Bj0i/gotQWyOYbXOtMm5NtVdqIZ1lTYA8RAJrQM06Pqwu0K9f709NPdNH8kXdnUgHFw==" saltValue="SsmI3yLo9XruytbOqmjsTw==" spinCount="100000" sheet="1" selectLockedCells="1"/>
  <mergeCells count="4">
    <mergeCell ref="C2:H2"/>
    <mergeCell ref="B11:B20"/>
    <mergeCell ref="G22:H22"/>
    <mergeCell ref="D6:G6"/>
  </mergeCells>
  <dataValidations count="1">
    <dataValidation allowBlank="1" showInputMessage="1" showErrorMessage="1" sqref="L14:AA18" xr:uid="{3E81B6CE-0704-4ABF-8331-A0465C14455A}"/>
  </dataValidations>
  <pageMargins left="0.7" right="0.7" top="0.75" bottom="0.75" header="0.3" footer="0.3"/>
  <pageSetup paperSize="9" orientation="portrait" horizontalDpi="0" verticalDpi="0" r:id="rId1"/>
  <drawing r:id="rId2"/>
  <legacyDrawing r:id="rId3"/>
  <extLst>
    <ext xmlns:x14="http://schemas.microsoft.com/office/spreadsheetml/2009/9/main" uri="{CCE6A557-97BC-4b89-ADB6-D9C93CAAB3DF}">
      <x14:dataValidations xmlns:xm="http://schemas.microsoft.com/office/excel/2006/main" count="4">
        <x14:dataValidation type="list" allowBlank="1" showInputMessage="1" showErrorMessage="1" xr:uid="{4E10D62F-B3DD-40A1-AC82-081FDD9B3F87}">
          <x14:formula1>
            <xm:f>'CRITERIOS CELDAS RAT-MTGE'!$X$7</xm:f>
          </x14:formula1>
          <xm:sqref>D10:D21</xm:sqref>
        </x14:dataValidation>
        <x14:dataValidation type="list" allowBlank="1" showInputMessage="1" showErrorMessage="1" xr:uid="{0270FC5B-BA40-46C2-9EC7-3314B7A5BA43}">
          <x14:formula1>
            <xm:f>'CRITERIOS CELDAS RAT-MTGE'!$AA$7</xm:f>
          </x14:formula1>
          <xm:sqref>E10:E21</xm:sqref>
        </x14:dataValidation>
        <x14:dataValidation type="list" allowBlank="1" showInputMessage="1" showErrorMessage="1" xr:uid="{3B6EFF5E-DD1C-4811-AD1D-8A19451E9C8E}">
          <x14:formula1>
            <xm:f>'CRITERIOS CELDAS RAT-MTGE'!$AD$7</xm:f>
          </x14:formula1>
          <xm:sqref>F10:F21</xm:sqref>
        </x14:dataValidation>
        <x14:dataValidation type="list" allowBlank="1" showInputMessage="1" showErrorMessage="1" xr:uid="{97EDD118-E614-48F7-A8F4-019EFD855AEB}">
          <x14:formula1>
            <xm:f>'CRITERIOS CELDAS RAT-MTGE'!$AG$7</xm:f>
          </x14:formula1>
          <xm:sqref>G10:G21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2F86C-4AAC-4C49-BCD5-91EACCF6CB0E}">
  <dimension ref="B1:BM30"/>
  <sheetViews>
    <sheetView showGridLines="0" zoomScale="27" zoomScaleNormal="27" workbookViewId="0">
      <selection activeCell="H9" sqref="H9"/>
    </sheetView>
  </sheetViews>
  <sheetFormatPr defaultColWidth="46.6796875" defaultRowHeight="73.150000000000006" customHeight="1" x14ac:dyDescent="0.2"/>
  <cols>
    <col min="1" max="1" width="6.72265625" style="1" customWidth="1"/>
    <col min="2" max="2" width="9.953125" style="1" customWidth="1"/>
    <col min="3" max="3" width="36.05078125" style="1" customWidth="1"/>
    <col min="4" max="7" width="26.36328125" style="1" customWidth="1"/>
    <col min="8" max="8" width="62.1484375" style="1" customWidth="1"/>
    <col min="9" max="9" width="11.703125" style="2" bestFit="1" customWidth="1"/>
    <col min="10" max="10" width="2.15234375" style="1" customWidth="1"/>
    <col min="11" max="11" width="11.43359375" style="1" customWidth="1"/>
    <col min="12" max="12" width="1.74609375" style="1" customWidth="1"/>
    <col min="13" max="13" width="13.71875" style="1" customWidth="1"/>
    <col min="14" max="14" width="1.61328125" style="1" customWidth="1"/>
    <col min="15" max="15" width="13.046875" style="1" customWidth="1"/>
    <col min="16" max="16" width="1.74609375" style="1" customWidth="1"/>
    <col min="17" max="17" width="13.71875" style="1" customWidth="1"/>
    <col min="18" max="18" width="2.15234375" style="1" customWidth="1"/>
    <col min="19" max="23" width="14.66015625" style="1" customWidth="1"/>
    <col min="24" max="24" width="2.15234375" style="1" customWidth="1"/>
    <col min="25" max="29" width="14.66015625" style="1" customWidth="1"/>
    <col min="30" max="30" width="2.15234375" style="1" customWidth="1"/>
    <col min="31" max="35" width="14.66015625" style="1" customWidth="1"/>
    <col min="36" max="36" width="2.15234375" style="1" customWidth="1"/>
    <col min="37" max="41" width="14.66015625" style="1" customWidth="1"/>
    <col min="42" max="42" width="2.015625" style="1" customWidth="1"/>
    <col min="43" max="47" width="14.66015625" style="1" customWidth="1"/>
    <col min="48" max="48" width="3.09375" style="1" customWidth="1"/>
    <col min="49" max="53" width="14.66015625" style="1" customWidth="1"/>
    <col min="54" max="54" width="2.15234375" style="1" customWidth="1"/>
    <col min="55" max="59" width="14.66015625" style="1" customWidth="1"/>
    <col min="60" max="60" width="2.015625" style="1" customWidth="1"/>
    <col min="61" max="65" width="14.66015625" style="1" customWidth="1"/>
    <col min="66" max="66" width="2.6875" style="1" customWidth="1"/>
    <col min="67" max="71" width="14.66015625" style="1" customWidth="1"/>
    <col min="72" max="72" width="2.15234375" style="1" customWidth="1"/>
    <col min="73" max="76" width="14.66015625" style="1" customWidth="1"/>
    <col min="77" max="77" width="2.6875" style="1" customWidth="1"/>
    <col min="78" max="78" width="2.015625" style="1" customWidth="1"/>
    <col min="79" max="80" width="14.66015625" style="1" customWidth="1"/>
    <col min="81" max="81" width="4.70703125" style="1" customWidth="1"/>
    <col min="82" max="83" width="14.66015625" style="1" customWidth="1"/>
    <col min="84" max="16384" width="46.6796875" style="1"/>
  </cols>
  <sheetData>
    <row r="1" spans="2:65" ht="22.15" customHeight="1" thickBot="1" x14ac:dyDescent="0.25"/>
    <row r="2" spans="2:65" ht="61.9" customHeight="1" thickBot="1" x14ac:dyDescent="0.25">
      <c r="C2" s="175" t="s">
        <v>8</v>
      </c>
      <c r="D2" s="175"/>
      <c r="E2" s="175"/>
      <c r="F2" s="175"/>
      <c r="G2" s="175"/>
      <c r="H2" s="175"/>
      <c r="I2" s="3"/>
      <c r="J2" s="4"/>
      <c r="K2" s="4"/>
      <c r="L2" s="4"/>
      <c r="M2" s="4"/>
      <c r="N2" s="4"/>
      <c r="O2" s="4"/>
      <c r="Q2" s="4"/>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6"/>
      <c r="AW2" s="6"/>
      <c r="AX2" s="6"/>
      <c r="AY2" s="6"/>
      <c r="AZ2" s="6"/>
      <c r="BA2" s="6"/>
      <c r="BB2" s="6"/>
      <c r="BC2" s="6"/>
      <c r="BD2" s="6"/>
      <c r="BE2" s="6"/>
    </row>
    <row r="3" spans="2:65" ht="49.9" customHeight="1" x14ac:dyDescent="0.35">
      <c r="C3" s="3" t="s">
        <v>5</v>
      </c>
      <c r="D3" s="3"/>
      <c r="E3" s="3"/>
      <c r="F3" s="3"/>
      <c r="G3" s="3"/>
      <c r="H3" s="3" t="s">
        <v>221</v>
      </c>
      <c r="I3" s="3"/>
      <c r="J3" s="4"/>
      <c r="K3" s="4"/>
      <c r="L3" s="4"/>
      <c r="M3" s="4"/>
      <c r="N3" s="4"/>
      <c r="O3" s="4"/>
      <c r="Q3" s="4"/>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6"/>
      <c r="AW3" s="6"/>
      <c r="AX3" s="6"/>
      <c r="AY3" s="6"/>
      <c r="AZ3" s="6"/>
      <c r="BA3" s="6"/>
      <c r="BB3" s="6"/>
      <c r="BC3" s="6"/>
      <c r="BD3" s="6"/>
      <c r="BE3" s="6"/>
    </row>
    <row r="4" spans="2:65" ht="49.9" customHeight="1" x14ac:dyDescent="0.25">
      <c r="C4" s="104" t="str">
        <f>'RAT-MTGE MEDICINA OCUPACIONAL'!D3</f>
        <v>EXÁMENES MÉDICOS OBLIGATORIOS                                                     (Pre ocupacional, Periódica y Retiro)</v>
      </c>
      <c r="D4" s="3"/>
      <c r="E4" s="3"/>
      <c r="F4" s="3"/>
      <c r="G4" s="3"/>
      <c r="H4" s="101" t="str">
        <f>+'RAT-MTGE MEDICINA OCUPACIONAL'!F6</f>
        <v>NACIONAL</v>
      </c>
      <c r="I4" s="3"/>
      <c r="J4" s="4"/>
      <c r="K4" s="4"/>
      <c r="L4" s="4"/>
      <c r="M4" s="4"/>
      <c r="N4" s="4"/>
      <c r="O4" s="4"/>
      <c r="Q4" s="4"/>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6"/>
      <c r="AW4" s="6"/>
      <c r="AX4" s="6"/>
      <c r="AY4" s="6"/>
      <c r="AZ4" s="6"/>
      <c r="BA4" s="6"/>
      <c r="BB4" s="6"/>
      <c r="BC4" s="6"/>
      <c r="BD4" s="6"/>
      <c r="BE4" s="6"/>
    </row>
    <row r="5" spans="2:65" ht="49.9" customHeight="1" x14ac:dyDescent="0.3">
      <c r="C5" s="16" t="s">
        <v>222</v>
      </c>
      <c r="D5" s="3"/>
      <c r="E5" s="3"/>
      <c r="F5" s="3"/>
      <c r="G5" s="3"/>
      <c r="H5" s="3" t="s">
        <v>220</v>
      </c>
      <c r="I5" s="3"/>
      <c r="J5" s="4"/>
      <c r="K5" s="4"/>
      <c r="L5" s="4"/>
      <c r="M5" s="4"/>
      <c r="N5" s="4"/>
      <c r="O5" s="182" t="s">
        <v>71</v>
      </c>
      <c r="P5" s="182"/>
      <c r="Q5" s="182"/>
      <c r="R5" s="182"/>
      <c r="S5" s="182"/>
      <c r="T5" s="182"/>
      <c r="U5" s="182"/>
      <c r="V5" s="182"/>
      <c r="W5" s="182"/>
      <c r="X5" s="182"/>
      <c r="Y5" s="182"/>
      <c r="Z5" s="182"/>
      <c r="AA5" s="5"/>
      <c r="AB5" s="5"/>
      <c r="AC5" s="5"/>
      <c r="AD5" s="5"/>
      <c r="AE5" s="5"/>
      <c r="AF5" s="5"/>
      <c r="AG5" s="5"/>
      <c r="AH5" s="5"/>
      <c r="AI5" s="5"/>
      <c r="AJ5" s="5"/>
      <c r="AK5" s="5"/>
      <c r="AL5" s="5"/>
      <c r="AM5" s="5"/>
      <c r="AN5" s="5"/>
      <c r="AO5" s="5"/>
      <c r="AP5" s="5"/>
      <c r="AQ5" s="5"/>
      <c r="AR5" s="5"/>
      <c r="AS5" s="5"/>
      <c r="AT5" s="5"/>
      <c r="AU5" s="5"/>
      <c r="AV5" s="6"/>
      <c r="AW5" s="6"/>
      <c r="AX5" s="6"/>
      <c r="AY5" s="6"/>
      <c r="AZ5" s="6"/>
      <c r="BA5" s="6"/>
      <c r="BB5" s="6"/>
      <c r="BC5" s="6"/>
      <c r="BD5" s="6"/>
      <c r="BE5" s="6"/>
    </row>
    <row r="6" spans="2:65" ht="49.9" customHeight="1" x14ac:dyDescent="0.35">
      <c r="C6" s="103" t="str">
        <f>+'RAT-MTGE MEDICINA OCUPACIONAL'!E6</f>
        <v>LABORATORIOS CLÍNICOS</v>
      </c>
      <c r="D6" s="178" t="s">
        <v>268</v>
      </c>
      <c r="E6" s="183"/>
      <c r="F6" s="183"/>
      <c r="G6" s="184"/>
      <c r="H6" s="102" t="str">
        <f>+'RAT-MTGE MEDICINA OCUPACIONAL'!F14</f>
        <v>SI - USO DE CORREO ELECTRÓNICO</v>
      </c>
      <c r="I6" s="3"/>
      <c r="J6" s="4"/>
      <c r="K6" s="4"/>
      <c r="L6" s="4"/>
      <c r="M6" s="36" t="s">
        <v>2</v>
      </c>
      <c r="N6" s="181" t="s">
        <v>68</v>
      </c>
      <c r="O6" s="181"/>
      <c r="P6" s="181"/>
      <c r="Q6" s="181"/>
      <c r="R6" s="181"/>
      <c r="S6" s="181"/>
      <c r="T6" s="181"/>
      <c r="U6" s="181"/>
      <c r="V6" s="181"/>
      <c r="W6" s="181"/>
      <c r="X6" s="181"/>
      <c r="Y6" s="181"/>
      <c r="Z6" s="181"/>
      <c r="AA6" s="5"/>
      <c r="AB6" s="5"/>
      <c r="AC6" s="5"/>
      <c r="AD6" s="5"/>
      <c r="AE6" s="5"/>
      <c r="AF6" s="5"/>
      <c r="AG6" s="5"/>
      <c r="AH6" s="5"/>
      <c r="AI6" s="5"/>
      <c r="AJ6" s="5"/>
      <c r="AK6" s="5"/>
      <c r="AL6" s="5"/>
      <c r="AM6" s="5"/>
      <c r="AN6" s="5"/>
      <c r="AO6" s="5"/>
      <c r="AP6" s="5"/>
      <c r="AQ6" s="5"/>
      <c r="AR6" s="5"/>
      <c r="AS6" s="5"/>
      <c r="AT6" s="5"/>
      <c r="AU6" s="5"/>
      <c r="AV6" s="6"/>
      <c r="AW6" s="6"/>
      <c r="AX6" s="6"/>
      <c r="AY6" s="6"/>
      <c r="AZ6" s="6"/>
      <c r="BA6" s="6"/>
      <c r="BB6" s="6"/>
      <c r="BC6" s="6"/>
      <c r="BD6" s="6"/>
      <c r="BE6" s="6"/>
    </row>
    <row r="7" spans="2:65" ht="9.4" customHeight="1" thickBot="1" x14ac:dyDescent="0.25">
      <c r="D7" s="3"/>
      <c r="E7" s="7"/>
      <c r="F7" s="7"/>
      <c r="G7" s="3"/>
      <c r="H7" s="17"/>
      <c r="I7" s="3"/>
      <c r="J7" s="4"/>
      <c r="K7" s="4"/>
      <c r="L7" s="4"/>
      <c r="M7" s="36"/>
      <c r="N7" s="6"/>
      <c r="O7" s="6"/>
      <c r="P7" s="12"/>
      <c r="Q7" s="35"/>
      <c r="R7" s="6"/>
      <c r="S7" s="10"/>
      <c r="T7" s="10"/>
      <c r="U7" s="10"/>
      <c r="V7" s="5"/>
      <c r="W7" s="5"/>
      <c r="X7" s="5"/>
      <c r="Y7" s="5"/>
      <c r="Z7" s="5"/>
      <c r="AA7" s="5"/>
      <c r="AB7" s="5"/>
      <c r="AC7" s="5"/>
      <c r="AD7" s="5"/>
      <c r="AE7" s="5"/>
      <c r="AF7" s="5"/>
      <c r="AG7" s="5"/>
      <c r="AH7" s="5"/>
      <c r="AI7" s="5"/>
      <c r="AJ7" s="5"/>
      <c r="AK7" s="5"/>
      <c r="AL7" s="5"/>
      <c r="AM7" s="5"/>
      <c r="AN7" s="5"/>
      <c r="AO7" s="5"/>
      <c r="AP7" s="5"/>
      <c r="AQ7" s="5"/>
      <c r="AR7" s="5"/>
      <c r="AS7" s="5"/>
      <c r="AT7" s="5"/>
      <c r="AU7" s="5"/>
      <c r="AV7" s="6"/>
      <c r="AW7" s="6"/>
      <c r="AX7" s="6"/>
      <c r="AY7" s="6"/>
      <c r="AZ7" s="6"/>
      <c r="BA7" s="6"/>
      <c r="BB7" s="6"/>
      <c r="BC7" s="6"/>
      <c r="BD7" s="6"/>
      <c r="BE7" s="6"/>
    </row>
    <row r="8" spans="2:65" s="2" customFormat="1" ht="99" customHeight="1" x14ac:dyDescent="0.2">
      <c r="B8" s="9"/>
      <c r="C8" s="37" t="s">
        <v>251</v>
      </c>
      <c r="D8" s="81" t="s">
        <v>249</v>
      </c>
      <c r="E8" s="82" t="s">
        <v>248</v>
      </c>
      <c r="F8" s="80" t="s">
        <v>250</v>
      </c>
      <c r="G8" s="83" t="s">
        <v>247</v>
      </c>
      <c r="H8" s="11" t="s">
        <v>26</v>
      </c>
      <c r="J8" s="6"/>
      <c r="K8" s="8"/>
      <c r="L8" s="8"/>
      <c r="M8" s="36" t="s">
        <v>3</v>
      </c>
      <c r="N8" s="181" t="s">
        <v>69</v>
      </c>
      <c r="O8" s="181"/>
      <c r="P8" s="181"/>
      <c r="Q8" s="181"/>
      <c r="R8" s="181"/>
      <c r="S8" s="181"/>
      <c r="T8" s="181"/>
      <c r="U8" s="181"/>
      <c r="V8" s="181"/>
      <c r="W8" s="181"/>
      <c r="X8" s="181"/>
      <c r="Y8" s="181"/>
      <c r="Z8" s="181"/>
      <c r="AA8" s="8"/>
      <c r="AB8" s="8"/>
      <c r="AD8" s="6"/>
      <c r="AE8" s="8"/>
      <c r="AF8" s="8"/>
      <c r="AG8" s="8"/>
      <c r="AH8" s="8"/>
      <c r="AJ8" s="6"/>
      <c r="AK8" s="8"/>
      <c r="AL8" s="8"/>
      <c r="AM8" s="8"/>
      <c r="AN8" s="8"/>
      <c r="AP8" s="6"/>
      <c r="AQ8" s="8"/>
      <c r="AR8" s="8"/>
      <c r="AS8" s="8"/>
      <c r="AT8" s="8"/>
      <c r="AY8" s="12"/>
      <c r="AZ8" s="12"/>
      <c r="BA8" s="12"/>
      <c r="BB8" s="12"/>
      <c r="BC8" s="12"/>
      <c r="BD8" s="12"/>
      <c r="BE8" s="12"/>
      <c r="BF8" s="1"/>
      <c r="BG8" s="13"/>
      <c r="BH8" s="14"/>
      <c r="BI8" s="1"/>
      <c r="BJ8" s="15"/>
      <c r="BK8" s="15"/>
      <c r="BL8" s="15"/>
      <c r="BM8" s="15"/>
    </row>
    <row r="9" spans="2:65" s="2" customFormat="1" ht="50.45" customHeight="1" x14ac:dyDescent="0.4">
      <c r="B9" s="9"/>
      <c r="C9" s="37"/>
      <c r="D9" s="85" t="s">
        <v>272</v>
      </c>
      <c r="E9" s="86" t="s">
        <v>271</v>
      </c>
      <c r="F9" s="87" t="s">
        <v>270</v>
      </c>
      <c r="G9" s="88" t="s">
        <v>269</v>
      </c>
      <c r="H9" s="105"/>
      <c r="J9" s="6"/>
      <c r="K9" s="8"/>
      <c r="L9" s="8"/>
      <c r="M9" s="36" t="s">
        <v>21</v>
      </c>
      <c r="N9" s="181" t="s">
        <v>70</v>
      </c>
      <c r="O9" s="181"/>
      <c r="P9" s="181"/>
      <c r="Q9" s="181"/>
      <c r="R9" s="181"/>
      <c r="S9" s="181"/>
      <c r="T9" s="181"/>
      <c r="U9" s="181"/>
      <c r="V9" s="181"/>
      <c r="W9" s="181"/>
      <c r="X9" s="181"/>
      <c r="Y9" s="181"/>
      <c r="Z9" s="181"/>
      <c r="AA9" s="8"/>
      <c r="AB9" s="8"/>
      <c r="AD9" s="6"/>
      <c r="AE9" s="8"/>
      <c r="AF9" s="8"/>
      <c r="AG9" s="8"/>
      <c r="AH9" s="8"/>
      <c r="AJ9" s="6"/>
      <c r="AK9" s="8"/>
      <c r="AL9" s="8"/>
      <c r="AM9" s="8"/>
      <c r="AN9" s="8"/>
      <c r="AP9" s="6"/>
      <c r="AQ9" s="8"/>
      <c r="AR9" s="8"/>
      <c r="AS9" s="8"/>
      <c r="AT9" s="8"/>
      <c r="AY9" s="12"/>
      <c r="AZ9" s="12"/>
      <c r="BA9" s="12"/>
      <c r="BB9" s="12"/>
      <c r="BC9" s="12"/>
      <c r="BD9" s="12"/>
      <c r="BE9" s="12"/>
      <c r="BF9" s="1"/>
      <c r="BG9" s="13"/>
      <c r="BH9" s="14"/>
      <c r="BI9" s="1"/>
      <c r="BJ9" s="15"/>
      <c r="BK9" s="15"/>
      <c r="BL9" s="15"/>
      <c r="BM9" s="15"/>
    </row>
    <row r="10" spans="2:65" s="2" customFormat="1" ht="87.6" customHeight="1" x14ac:dyDescent="0.25">
      <c r="C10" s="12" t="s">
        <v>254</v>
      </c>
      <c r="D10" s="55"/>
      <c r="E10" s="84"/>
      <c r="F10" s="84" t="s">
        <v>216</v>
      </c>
      <c r="G10" s="84"/>
      <c r="H10" s="61" t="s">
        <v>263</v>
      </c>
      <c r="I10" s="75">
        <f>IFERROR(_xlfn.IFS(D10="EXISTE UN SG-PDP VALIDADO Y MANTENIDO. LAS RUTINAS PDP SE PRACTICAN. PLAN DE SIMULACROS ACTIVO. GRC ARTICULADO Y REFERESCADO",1,E10="EXISTE PROYECTO SG-PDP. NO ESTÁ VALIDADO. LAS RUTINAS PDP SE PRACTICAN. PLAN DE SIMULACROS FASE INICIAL. PANSI EN FASE INICIAL.",2,F10="PROYECTO SG-PDP INSIPIENTE. HAY DPO, ALGUNOS DOCUMENTOS, HAY EQUIPO INTERNO. NO HAY GRC. NO HAY PANSI",3,G10="NO HAY PROYECTO SG-PDP. HAY DPO, ALGUNOS DOCUMENTOS, NO HAY EQUIPO INTERNO. NO HAY APOYO DE LA GERENCIA. EL DPD TIENE TODA LA CARGA",4),0)</f>
        <v>3</v>
      </c>
      <c r="J10" s="6"/>
      <c r="K10" s="16"/>
      <c r="L10" s="16"/>
      <c r="M10" s="36" t="s">
        <v>4</v>
      </c>
      <c r="N10" s="181" t="s">
        <v>72</v>
      </c>
      <c r="O10" s="181"/>
      <c r="P10" s="181"/>
      <c r="Q10" s="181"/>
      <c r="R10" s="181"/>
      <c r="S10" s="181"/>
      <c r="T10" s="181"/>
      <c r="U10" s="181"/>
      <c r="V10" s="181"/>
      <c r="W10" s="181"/>
      <c r="X10" s="181"/>
      <c r="Y10" s="181"/>
      <c r="Z10" s="181"/>
      <c r="AA10" s="16"/>
      <c r="AB10" s="16"/>
      <c r="AC10" s="6"/>
      <c r="AD10" s="6"/>
      <c r="AE10" s="16"/>
      <c r="AF10" s="16"/>
      <c r="AG10" s="16"/>
      <c r="AH10" s="16"/>
      <c r="AI10" s="6"/>
      <c r="AJ10" s="6"/>
      <c r="AK10" s="16"/>
      <c r="AL10" s="16"/>
      <c r="AM10" s="16"/>
      <c r="AN10" s="16"/>
      <c r="AO10" s="6"/>
      <c r="AP10" s="6"/>
      <c r="AQ10" s="16"/>
      <c r="AR10" s="16"/>
      <c r="AS10" s="16"/>
      <c r="AT10" s="16"/>
      <c r="AU10" s="6"/>
      <c r="AY10" s="12"/>
      <c r="AZ10" s="12"/>
      <c r="BA10" s="12"/>
      <c r="BB10" s="12"/>
      <c r="BC10" s="12"/>
      <c r="BD10" s="12"/>
      <c r="BE10" s="12"/>
      <c r="BF10" s="1"/>
      <c r="BG10" s="13"/>
      <c r="BH10" s="14"/>
      <c r="BI10" s="1"/>
      <c r="BJ10" s="15"/>
      <c r="BK10" s="15"/>
      <c r="BL10" s="15"/>
      <c r="BM10" s="15"/>
    </row>
    <row r="11" spans="2:65" s="2" customFormat="1" ht="95.45" customHeight="1" x14ac:dyDescent="0.25">
      <c r="B11" s="176" t="s">
        <v>6</v>
      </c>
      <c r="C11" s="12" t="s">
        <v>253</v>
      </c>
      <c r="D11" s="55"/>
      <c r="E11" s="55"/>
      <c r="F11" s="55" t="s">
        <v>216</v>
      </c>
      <c r="G11" s="55"/>
      <c r="H11" s="61" t="s">
        <v>285</v>
      </c>
      <c r="I11" s="75">
        <f t="shared" ref="I11:I18" si="0">IFERROR(_xlfn.IFS(D11="EXISTE UN SG-PDP VALIDADO Y MANTENIDO. LAS RUTINAS PDP SE PRACTICAN. PLAN DE SIMULACROS ACTIVO. GRC ARTICULADO Y REFERESCADO",1,E11="EXISTE PROYECTO SG-PDP. NO ESTÁ VALIDADO. LAS RUTINAS PDP SE PRACTICAN. PLAN DE SIMULACROS FASE INICIAL. PANSI EN FASE INICIAL.",2,F11="PROYECTO SG-PDP INSIPIENTE. HAY DPO, ALGUNOS DOCUMENTOS, HAY EQUIPO INTERNO. NO HAY GRC. NO HAY PANSI",3,G11="NO HAY PROYECTO SG-PDP. HAY DPO, ALGUNOS DOCUMENTOS, NO HAY EQUIPO INTERNO. NO HAY APOYO DE LA GERENCIA. EL DPD TIENE TODA LA CARGA",4),0)</f>
        <v>3</v>
      </c>
      <c r="J11" s="6"/>
      <c r="K11" s="16"/>
      <c r="L11" s="16"/>
      <c r="AA11" s="10"/>
      <c r="AB11" s="10"/>
      <c r="AC11" s="6"/>
      <c r="AD11" s="6"/>
      <c r="AE11" s="10"/>
      <c r="AF11" s="10"/>
      <c r="AG11" s="10"/>
      <c r="AH11" s="10"/>
      <c r="AI11" s="6"/>
      <c r="AJ11" s="6"/>
      <c r="AK11" s="10"/>
      <c r="AL11" s="10"/>
      <c r="AM11" s="10"/>
      <c r="AN11" s="10"/>
      <c r="AO11" s="6"/>
      <c r="AP11" s="6"/>
      <c r="AQ11" s="10"/>
      <c r="AR11" s="10"/>
      <c r="AS11" s="10"/>
      <c r="AT11" s="10"/>
      <c r="AU11" s="6"/>
      <c r="AY11" s="12"/>
      <c r="AZ11" s="12"/>
      <c r="BA11" s="12"/>
      <c r="BB11" s="12"/>
      <c r="BC11" s="12"/>
      <c r="BD11" s="12"/>
      <c r="BE11" s="12"/>
      <c r="BF11" s="1"/>
      <c r="BG11" s="13"/>
      <c r="BH11" s="14"/>
      <c r="BI11" s="1"/>
      <c r="BJ11" s="15"/>
      <c r="BK11" s="15"/>
      <c r="BL11" s="15"/>
      <c r="BM11" s="15"/>
    </row>
    <row r="12" spans="2:65" s="2" customFormat="1" ht="142.15" customHeight="1" x14ac:dyDescent="0.25">
      <c r="B12" s="176"/>
      <c r="C12" s="12" t="s">
        <v>255</v>
      </c>
      <c r="D12" s="55"/>
      <c r="E12" s="55"/>
      <c r="F12" s="55" t="s">
        <v>216</v>
      </c>
      <c r="G12" s="55"/>
      <c r="H12" s="61" t="s">
        <v>262</v>
      </c>
      <c r="I12" s="75">
        <f t="shared" si="0"/>
        <v>3</v>
      </c>
      <c r="J12" s="6"/>
      <c r="K12" s="16"/>
      <c r="L12" s="16"/>
      <c r="M12" s="36"/>
      <c r="N12" s="1"/>
      <c r="O12" s="1"/>
      <c r="P12" s="1"/>
      <c r="Q12" s="1"/>
      <c r="R12" s="1"/>
      <c r="S12" s="1"/>
      <c r="T12" s="1"/>
      <c r="U12" s="1"/>
      <c r="V12" s="1"/>
      <c r="W12" s="1"/>
      <c r="X12" s="1"/>
      <c r="Y12" s="1"/>
      <c r="Z12" s="1"/>
      <c r="AA12" s="10"/>
      <c r="AB12" s="10"/>
      <c r="AC12" s="6"/>
      <c r="AD12" s="6"/>
      <c r="AE12" s="10"/>
      <c r="AF12" s="10"/>
      <c r="AG12" s="10"/>
      <c r="AH12" s="10"/>
      <c r="AI12" s="6"/>
      <c r="AJ12" s="6"/>
      <c r="AK12" s="10"/>
      <c r="AL12" s="10"/>
      <c r="AM12" s="10"/>
      <c r="AN12" s="10"/>
      <c r="AO12" s="6"/>
      <c r="AP12" s="6"/>
      <c r="AQ12" s="10"/>
      <c r="AR12" s="10"/>
      <c r="AS12" s="10"/>
      <c r="AT12" s="10"/>
      <c r="AU12" s="6"/>
      <c r="AY12" s="12"/>
      <c r="AZ12" s="12"/>
      <c r="BA12" s="12"/>
      <c r="BB12" s="12"/>
      <c r="BC12" s="12"/>
      <c r="BD12" s="12"/>
      <c r="BE12" s="12"/>
      <c r="BF12" s="1"/>
      <c r="BG12" s="13"/>
      <c r="BH12" s="14"/>
      <c r="BI12" s="1"/>
      <c r="BJ12" s="15"/>
      <c r="BK12" s="15"/>
      <c r="BL12" s="15"/>
      <c r="BM12" s="15"/>
    </row>
    <row r="13" spans="2:65" s="2" customFormat="1" ht="108" customHeight="1" x14ac:dyDescent="0.25">
      <c r="B13" s="176"/>
      <c r="C13" s="12" t="s">
        <v>256</v>
      </c>
      <c r="D13" s="55"/>
      <c r="E13" s="55"/>
      <c r="F13" s="55" t="s">
        <v>216</v>
      </c>
      <c r="G13" s="55"/>
      <c r="H13" s="61" t="s">
        <v>261</v>
      </c>
      <c r="I13" s="75">
        <f t="shared" si="0"/>
        <v>3</v>
      </c>
      <c r="J13" s="6"/>
      <c r="K13" s="16"/>
      <c r="L13" s="16"/>
      <c r="M13" s="36"/>
      <c r="N13" s="1"/>
      <c r="O13" s="1"/>
      <c r="P13" s="1"/>
      <c r="Q13" s="1"/>
      <c r="R13" s="1"/>
      <c r="S13" s="1"/>
      <c r="T13" s="1"/>
      <c r="U13" s="1"/>
      <c r="V13" s="1"/>
      <c r="W13" s="1"/>
      <c r="X13" s="1"/>
      <c r="Y13" s="1"/>
      <c r="Z13" s="1"/>
      <c r="AA13" s="10"/>
      <c r="AB13" s="10"/>
      <c r="AC13" s="6"/>
      <c r="AD13" s="6"/>
      <c r="AE13" s="10"/>
      <c r="AF13" s="10"/>
      <c r="AG13" s="10"/>
      <c r="AH13" s="10"/>
      <c r="AI13" s="6"/>
      <c r="AJ13" s="6"/>
      <c r="AK13" s="10"/>
      <c r="AL13" s="10"/>
      <c r="AM13" s="10"/>
      <c r="AN13" s="10"/>
      <c r="AO13" s="6"/>
      <c r="AP13" s="6"/>
      <c r="AQ13" s="10"/>
      <c r="AR13" s="10"/>
      <c r="AS13" s="10"/>
      <c r="AT13" s="10"/>
      <c r="AU13" s="6"/>
      <c r="AY13" s="12"/>
      <c r="AZ13" s="12"/>
      <c r="BA13" s="12"/>
      <c r="BB13" s="12"/>
      <c r="BC13" s="12"/>
      <c r="BD13" s="12"/>
      <c r="BE13" s="12"/>
      <c r="BF13" s="1"/>
      <c r="BG13" s="13"/>
      <c r="BH13" s="14"/>
      <c r="BI13" s="1"/>
      <c r="BJ13" s="15"/>
      <c r="BK13" s="15"/>
      <c r="BL13" s="15"/>
      <c r="BM13" s="15"/>
    </row>
    <row r="14" spans="2:65" s="2" customFormat="1" ht="95.45" customHeight="1" x14ac:dyDescent="0.25">
      <c r="B14" s="176"/>
      <c r="C14" s="12" t="s">
        <v>257</v>
      </c>
      <c r="D14" s="55"/>
      <c r="E14" s="55"/>
      <c r="F14" s="55"/>
      <c r="G14" s="55"/>
      <c r="H14" s="61"/>
      <c r="I14" s="75">
        <f t="shared" si="0"/>
        <v>0</v>
      </c>
      <c r="J14" s="6"/>
      <c r="K14" s="16"/>
      <c r="L14" s="16"/>
      <c r="M14" s="36"/>
      <c r="N14" s="1"/>
      <c r="O14" s="1"/>
      <c r="P14" s="1"/>
      <c r="Q14" s="1"/>
      <c r="R14" s="1"/>
      <c r="S14" s="1"/>
      <c r="T14" s="1"/>
      <c r="U14" s="1"/>
      <c r="V14" s="1"/>
      <c r="W14" s="1"/>
      <c r="X14" s="1"/>
      <c r="Y14" s="1"/>
      <c r="Z14" s="1"/>
      <c r="AA14" s="10"/>
      <c r="AB14" s="10"/>
      <c r="AC14" s="6"/>
      <c r="AD14" s="6"/>
      <c r="AE14" s="10"/>
      <c r="AF14" s="10"/>
      <c r="AG14" s="10"/>
      <c r="AH14" s="10"/>
      <c r="AI14" s="6"/>
      <c r="AJ14" s="6"/>
      <c r="AK14" s="10"/>
      <c r="AL14" s="10"/>
      <c r="AM14" s="10"/>
      <c r="AN14" s="10"/>
      <c r="AO14" s="6"/>
      <c r="AP14" s="6"/>
      <c r="AQ14" s="10"/>
      <c r="AR14" s="10"/>
      <c r="AS14" s="10"/>
      <c r="AT14" s="10"/>
      <c r="AU14" s="6"/>
      <c r="AY14" s="12"/>
      <c r="AZ14" s="12"/>
      <c r="BA14" s="12"/>
      <c r="BB14" s="12"/>
      <c r="BC14" s="12"/>
      <c r="BD14" s="12"/>
      <c r="BE14" s="12"/>
      <c r="BF14" s="1"/>
      <c r="BG14" s="13"/>
      <c r="BH14" s="14"/>
      <c r="BI14" s="1"/>
      <c r="BJ14" s="15"/>
      <c r="BK14" s="15"/>
      <c r="BL14" s="15"/>
      <c r="BM14" s="15"/>
    </row>
    <row r="15" spans="2:65" s="2" customFormat="1" ht="95.45" customHeight="1" x14ac:dyDescent="0.25">
      <c r="B15" s="176"/>
      <c r="C15" s="12" t="s">
        <v>260</v>
      </c>
      <c r="D15" s="55"/>
      <c r="E15" s="55"/>
      <c r="F15" s="55"/>
      <c r="G15" s="55"/>
      <c r="H15" s="61"/>
      <c r="I15" s="75">
        <f t="shared" si="0"/>
        <v>0</v>
      </c>
      <c r="J15" s="6"/>
      <c r="K15" s="16"/>
      <c r="L15" s="16"/>
      <c r="M15" s="36"/>
      <c r="N15" s="1"/>
      <c r="O15" s="1"/>
      <c r="P15" s="1"/>
      <c r="Q15" s="1"/>
      <c r="R15" s="1"/>
      <c r="S15" s="1"/>
      <c r="T15" s="1"/>
      <c r="U15" s="1"/>
      <c r="V15" s="1"/>
      <c r="W15" s="1"/>
      <c r="X15" s="1"/>
      <c r="Y15" s="1"/>
      <c r="Z15" s="1"/>
      <c r="AA15" s="10"/>
      <c r="AB15" s="10"/>
      <c r="AC15" s="6"/>
      <c r="AD15" s="6"/>
      <c r="AE15" s="10"/>
      <c r="AF15" s="10"/>
      <c r="AG15" s="10"/>
      <c r="AH15" s="10"/>
      <c r="AI15" s="6"/>
      <c r="AJ15" s="6"/>
      <c r="AK15" s="10"/>
      <c r="AL15" s="10"/>
      <c r="AM15" s="10"/>
      <c r="AN15" s="10"/>
      <c r="AO15" s="6"/>
      <c r="AP15" s="6"/>
      <c r="AQ15" s="10"/>
      <c r="AR15" s="10"/>
      <c r="AS15" s="10"/>
      <c r="AT15" s="10"/>
      <c r="AU15" s="6"/>
      <c r="AY15" s="12"/>
      <c r="AZ15" s="12"/>
      <c r="BA15" s="12"/>
      <c r="BB15" s="12"/>
      <c r="BC15" s="12"/>
      <c r="BD15" s="12"/>
      <c r="BE15" s="12"/>
      <c r="BF15" s="1"/>
      <c r="BG15" s="13"/>
      <c r="BH15" s="14"/>
      <c r="BI15" s="1"/>
      <c r="BJ15" s="15"/>
      <c r="BK15" s="15"/>
      <c r="BL15" s="15"/>
      <c r="BM15" s="15"/>
    </row>
    <row r="16" spans="2:65" s="2" customFormat="1" ht="95.45" customHeight="1" x14ac:dyDescent="0.25">
      <c r="B16" s="176"/>
      <c r="C16" s="12" t="s">
        <v>258</v>
      </c>
      <c r="D16" s="55"/>
      <c r="E16" s="55"/>
      <c r="F16" s="55"/>
      <c r="G16" s="55"/>
      <c r="H16" s="61"/>
      <c r="I16" s="75">
        <f t="shared" si="0"/>
        <v>0</v>
      </c>
      <c r="J16" s="6"/>
      <c r="K16" s="16"/>
      <c r="L16" s="16"/>
      <c r="M16" s="36"/>
      <c r="N16" s="1"/>
      <c r="O16" s="1"/>
      <c r="P16" s="1"/>
      <c r="Q16" s="1"/>
      <c r="R16" s="1"/>
      <c r="S16" s="1"/>
      <c r="T16" s="1"/>
      <c r="U16" s="1"/>
      <c r="V16" s="10"/>
      <c r="W16" s="6"/>
      <c r="X16" s="6"/>
      <c r="Y16" s="10"/>
      <c r="Z16" s="10"/>
      <c r="AA16" s="10"/>
      <c r="AB16" s="10"/>
      <c r="AC16" s="6"/>
      <c r="AD16" s="6"/>
      <c r="AE16" s="10"/>
      <c r="AF16" s="10"/>
      <c r="AG16" s="10"/>
      <c r="AH16" s="10"/>
      <c r="AI16" s="6"/>
      <c r="AJ16" s="6"/>
      <c r="AK16" s="10"/>
      <c r="AL16" s="10"/>
      <c r="AM16" s="10"/>
      <c r="AN16" s="10"/>
      <c r="AO16" s="6"/>
      <c r="AP16" s="6"/>
      <c r="AQ16" s="10"/>
      <c r="AR16" s="10"/>
      <c r="AS16" s="10"/>
      <c r="AT16" s="10"/>
      <c r="AU16" s="6"/>
      <c r="AY16" s="12"/>
      <c r="AZ16" s="12"/>
      <c r="BA16" s="12"/>
      <c r="BB16" s="12"/>
      <c r="BC16" s="12"/>
      <c r="BD16" s="12"/>
      <c r="BE16" s="12"/>
      <c r="BF16" s="1"/>
      <c r="BG16" s="13"/>
      <c r="BH16" s="14"/>
      <c r="BI16" s="1"/>
      <c r="BJ16" s="15"/>
      <c r="BK16" s="15"/>
      <c r="BL16" s="15"/>
      <c r="BM16" s="15"/>
    </row>
    <row r="17" spans="2:65" s="2" customFormat="1" ht="95.45" customHeight="1" x14ac:dyDescent="0.25">
      <c r="B17" s="176"/>
      <c r="C17" s="12" t="s">
        <v>259</v>
      </c>
      <c r="D17" s="55"/>
      <c r="E17" s="55"/>
      <c r="F17" s="55"/>
      <c r="G17" s="55"/>
      <c r="H17" s="61"/>
      <c r="I17" s="75">
        <f t="shared" si="0"/>
        <v>0</v>
      </c>
      <c r="J17" s="6"/>
      <c r="K17" s="16"/>
      <c r="L17" s="16"/>
      <c r="AA17" s="10"/>
      <c r="AB17" s="10"/>
      <c r="AC17" s="6"/>
      <c r="AD17" s="6"/>
      <c r="AE17" s="10"/>
      <c r="AF17" s="10"/>
      <c r="AG17" s="10"/>
      <c r="AH17" s="10"/>
      <c r="AI17" s="6"/>
      <c r="AJ17" s="6"/>
      <c r="AK17" s="10"/>
      <c r="AL17" s="10"/>
      <c r="AM17" s="10"/>
      <c r="AN17" s="10"/>
      <c r="AO17" s="6"/>
      <c r="AP17" s="6"/>
      <c r="AQ17" s="10"/>
      <c r="AR17" s="10"/>
      <c r="AS17" s="10"/>
      <c r="AT17" s="10"/>
      <c r="AU17" s="6"/>
      <c r="AY17" s="12"/>
      <c r="AZ17" s="12"/>
      <c r="BA17" s="12"/>
      <c r="BB17" s="12"/>
      <c r="BC17" s="12"/>
      <c r="BD17" s="12"/>
      <c r="BE17" s="12"/>
      <c r="BF17" s="1"/>
      <c r="BG17" s="13"/>
      <c r="BH17" s="14"/>
      <c r="BI17" s="1"/>
      <c r="BJ17" s="15"/>
      <c r="BK17" s="15"/>
      <c r="BL17" s="15"/>
      <c r="BM17" s="15"/>
    </row>
    <row r="18" spans="2:65" s="2" customFormat="1" ht="95.45" customHeight="1" thickBot="1" x14ac:dyDescent="0.25">
      <c r="B18" s="176"/>
      <c r="C18" s="68"/>
      <c r="D18" s="69"/>
      <c r="E18" s="69"/>
      <c r="F18" s="69"/>
      <c r="G18" s="69"/>
      <c r="H18" s="61"/>
      <c r="I18" s="75">
        <f t="shared" si="0"/>
        <v>0</v>
      </c>
      <c r="J18" s="6"/>
      <c r="K18" s="16"/>
      <c r="L18" s="16"/>
      <c r="V18" s="10"/>
      <c r="W18" s="6"/>
      <c r="X18" s="6"/>
      <c r="Y18" s="10"/>
      <c r="Z18" s="10"/>
      <c r="AA18" s="10"/>
      <c r="AB18" s="10"/>
      <c r="AC18" s="6"/>
      <c r="AD18" s="6"/>
      <c r="AE18" s="10"/>
      <c r="AF18" s="10"/>
      <c r="AG18" s="10"/>
      <c r="AH18" s="10"/>
      <c r="AI18" s="6"/>
      <c r="AJ18" s="6"/>
      <c r="AK18" s="10"/>
      <c r="AL18" s="10"/>
      <c r="AM18" s="10"/>
      <c r="AN18" s="10"/>
      <c r="AO18" s="6"/>
      <c r="AP18" s="6"/>
      <c r="AQ18" s="10"/>
      <c r="AR18" s="10"/>
      <c r="AS18" s="10"/>
      <c r="AT18" s="10"/>
      <c r="AU18" s="6"/>
      <c r="AY18" s="12"/>
      <c r="AZ18" s="12"/>
      <c r="BA18" s="12"/>
      <c r="BB18" s="12"/>
      <c r="BC18" s="12"/>
      <c r="BD18" s="12"/>
      <c r="BE18" s="12"/>
      <c r="BF18" s="1"/>
      <c r="BG18" s="13"/>
      <c r="BH18" s="14"/>
      <c r="BI18" s="1"/>
      <c r="BJ18" s="15"/>
      <c r="BK18" s="15"/>
      <c r="BL18" s="15"/>
      <c r="BM18" s="15"/>
    </row>
    <row r="19" spans="2:65" s="2" customFormat="1" ht="41.45" customHeight="1" x14ac:dyDescent="0.2">
      <c r="B19" s="176"/>
      <c r="C19" s="12"/>
      <c r="D19"/>
      <c r="E19"/>
      <c r="F19"/>
      <c r="G19"/>
      <c r="H19" s="38"/>
      <c r="I19" s="75"/>
      <c r="J19" s="6"/>
      <c r="K19" s="16"/>
      <c r="L19" s="16"/>
      <c r="V19" s="10"/>
      <c r="W19" s="6"/>
      <c r="X19" s="6"/>
      <c r="Y19" s="10"/>
      <c r="Z19" s="10"/>
      <c r="AA19" s="10"/>
      <c r="AB19" s="10"/>
      <c r="AC19" s="6"/>
      <c r="AD19" s="6"/>
      <c r="AE19" s="10"/>
      <c r="AF19" s="10"/>
      <c r="AG19" s="10"/>
      <c r="AH19" s="10"/>
      <c r="AI19" s="6"/>
      <c r="AJ19" s="6"/>
      <c r="AK19" s="10"/>
      <c r="AL19" s="10"/>
      <c r="AM19" s="10"/>
      <c r="AN19" s="10"/>
      <c r="AO19" s="6"/>
      <c r="AP19" s="6"/>
      <c r="AQ19" s="10"/>
      <c r="AR19" s="10"/>
      <c r="AS19" s="10"/>
      <c r="AT19" s="10"/>
      <c r="AU19" s="6"/>
      <c r="AY19" s="12"/>
      <c r="AZ19" s="12"/>
      <c r="BA19" s="12"/>
      <c r="BB19" s="12"/>
      <c r="BC19" s="12"/>
      <c r="BD19" s="12"/>
      <c r="BE19" s="12"/>
      <c r="BF19" s="1"/>
      <c r="BG19" s="13"/>
      <c r="BH19" s="14"/>
      <c r="BI19" s="1"/>
      <c r="BJ19" s="15"/>
      <c r="BK19" s="15"/>
      <c r="BL19" s="15"/>
      <c r="BM19" s="15"/>
    </row>
    <row r="20" spans="2:65" s="2" customFormat="1" ht="42" customHeight="1" thickBot="1" x14ac:dyDescent="0.4">
      <c r="B20" s="176"/>
      <c r="C20" s="12"/>
      <c r="D20" s="183" t="s">
        <v>268</v>
      </c>
      <c r="E20" s="183"/>
      <c r="F20" s="183"/>
      <c r="G20" s="183"/>
      <c r="H20" s="38"/>
      <c r="I20" s="75"/>
      <c r="J20" s="6"/>
      <c r="K20" s="16"/>
      <c r="L20" s="16"/>
      <c r="O20" s="182"/>
      <c r="P20" s="182"/>
      <c r="Q20" s="182"/>
      <c r="R20" s="182"/>
      <c r="S20" s="182"/>
      <c r="T20" s="182"/>
      <c r="U20" s="182"/>
      <c r="V20" s="182"/>
      <c r="W20" s="182"/>
      <c r="X20" s="182"/>
      <c r="Y20" s="182"/>
      <c r="Z20" s="182"/>
      <c r="AA20" s="10"/>
      <c r="AB20" s="10"/>
      <c r="AC20" s="6"/>
      <c r="AD20" s="6"/>
      <c r="AE20" s="10"/>
      <c r="AF20" s="10"/>
      <c r="AG20" s="10"/>
      <c r="AH20" s="10"/>
      <c r="AI20" s="6"/>
      <c r="AJ20" s="6"/>
      <c r="AK20" s="10"/>
      <c r="AL20" s="10"/>
      <c r="AM20" s="10"/>
      <c r="AN20" s="10"/>
      <c r="AO20" s="6"/>
      <c r="AP20" s="6"/>
      <c r="AQ20" s="10"/>
      <c r="AR20" s="10"/>
      <c r="AS20" s="10"/>
      <c r="AT20" s="10"/>
      <c r="AU20" s="6"/>
      <c r="AY20" s="12"/>
      <c r="AZ20" s="12"/>
      <c r="BA20" s="12"/>
      <c r="BB20" s="12"/>
      <c r="BC20" s="12"/>
      <c r="BD20" s="12"/>
      <c r="BE20" s="12"/>
      <c r="BF20" s="1"/>
      <c r="BG20" s="13"/>
      <c r="BH20" s="14"/>
      <c r="BI20" s="1"/>
      <c r="BJ20" s="15"/>
      <c r="BK20" s="15"/>
      <c r="BL20" s="15"/>
      <c r="BM20" s="15"/>
    </row>
    <row r="21" spans="2:65" s="2" customFormat="1" ht="99" customHeight="1" x14ac:dyDescent="0.2">
      <c r="B21" s="176"/>
      <c r="C21" s="37" t="s">
        <v>252</v>
      </c>
      <c r="D21" s="81" t="s">
        <v>249</v>
      </c>
      <c r="E21" s="82" t="s">
        <v>248</v>
      </c>
      <c r="F21" s="80" t="s">
        <v>250</v>
      </c>
      <c r="G21" s="83" t="s">
        <v>247</v>
      </c>
      <c r="H21" s="11" t="s">
        <v>26</v>
      </c>
      <c r="I21" s="75"/>
      <c r="J21" s="6"/>
      <c r="K21" s="16"/>
      <c r="L21" s="16"/>
      <c r="M21" s="36"/>
      <c r="N21" s="181"/>
      <c r="O21" s="181"/>
      <c r="P21" s="181"/>
      <c r="Q21" s="181"/>
      <c r="R21" s="181"/>
      <c r="S21" s="181"/>
      <c r="T21" s="181"/>
      <c r="U21" s="181"/>
      <c r="V21" s="181"/>
      <c r="W21" s="181"/>
      <c r="X21" s="181"/>
      <c r="Y21" s="181"/>
      <c r="Z21" s="181"/>
      <c r="AA21" s="10"/>
      <c r="AB21" s="10"/>
      <c r="AC21" s="6"/>
      <c r="AD21" s="6"/>
      <c r="AE21" s="10"/>
      <c r="AF21" s="10"/>
      <c r="AG21" s="10"/>
      <c r="AH21" s="10"/>
      <c r="AI21" s="6"/>
      <c r="AJ21" s="6"/>
      <c r="AK21" s="10"/>
      <c r="AL21" s="10"/>
      <c r="AM21" s="10"/>
      <c r="AN21" s="10"/>
      <c r="AO21" s="6"/>
      <c r="AP21" s="6"/>
      <c r="AQ21" s="10"/>
      <c r="AR21" s="10"/>
      <c r="AS21" s="10"/>
      <c r="AT21" s="10"/>
      <c r="AU21" s="6"/>
      <c r="AY21" s="12"/>
      <c r="AZ21" s="12"/>
      <c r="BA21" s="12"/>
      <c r="BB21" s="12"/>
      <c r="BC21" s="12"/>
      <c r="BD21" s="12"/>
      <c r="BE21" s="12"/>
      <c r="BF21" s="1"/>
      <c r="BG21" s="13"/>
      <c r="BH21" s="14"/>
      <c r="BI21" s="1"/>
      <c r="BJ21" s="15"/>
      <c r="BK21" s="15"/>
      <c r="BL21" s="15"/>
      <c r="BM21" s="15"/>
    </row>
    <row r="22" spans="2:65" s="2" customFormat="1" ht="52.9" customHeight="1" x14ac:dyDescent="0.4">
      <c r="B22" s="176"/>
      <c r="C22" s="37"/>
      <c r="D22" s="85" t="s">
        <v>272</v>
      </c>
      <c r="E22" s="86" t="s">
        <v>271</v>
      </c>
      <c r="F22" s="87" t="s">
        <v>270</v>
      </c>
      <c r="G22" s="88" t="s">
        <v>269</v>
      </c>
      <c r="H22" s="79"/>
      <c r="I22" s="75"/>
      <c r="J22" s="6"/>
      <c r="K22" s="16"/>
      <c r="L22" s="16"/>
      <c r="M22" s="36"/>
      <c r="N22" s="1"/>
      <c r="O22" s="1"/>
      <c r="P22" s="1"/>
      <c r="Q22" s="1"/>
      <c r="R22" s="1"/>
      <c r="S22" s="1"/>
      <c r="T22" s="1"/>
      <c r="U22" s="1"/>
      <c r="V22" s="1"/>
      <c r="W22" s="1"/>
      <c r="X22" s="1"/>
      <c r="Y22" s="1"/>
      <c r="Z22" s="1"/>
      <c r="AA22" s="10"/>
      <c r="AB22" s="10"/>
      <c r="AC22" s="6"/>
      <c r="AD22" s="6"/>
      <c r="AE22" s="10"/>
      <c r="AF22" s="10"/>
      <c r="AG22" s="10"/>
      <c r="AH22" s="10"/>
      <c r="AI22" s="6"/>
      <c r="AJ22" s="6"/>
      <c r="AK22" s="10"/>
      <c r="AL22" s="10"/>
      <c r="AM22" s="10"/>
      <c r="AN22" s="10"/>
      <c r="AO22" s="6"/>
      <c r="AP22" s="6"/>
      <c r="AQ22" s="10"/>
      <c r="AR22" s="10"/>
      <c r="AS22" s="10"/>
      <c r="AT22" s="10"/>
      <c r="AU22" s="6"/>
      <c r="AY22" s="12"/>
      <c r="AZ22" s="12"/>
      <c r="BA22" s="12"/>
      <c r="BB22" s="12"/>
      <c r="BC22" s="12"/>
      <c r="BD22" s="12"/>
      <c r="BE22" s="12"/>
      <c r="BF22" s="1"/>
      <c r="BG22" s="13"/>
      <c r="BH22" s="14"/>
      <c r="BI22" s="1"/>
      <c r="BJ22" s="15"/>
      <c r="BK22" s="15"/>
      <c r="BL22" s="15"/>
      <c r="BM22" s="15"/>
    </row>
    <row r="23" spans="2:65" s="2" customFormat="1" ht="60" customHeight="1" x14ac:dyDescent="0.25">
      <c r="B23" s="176"/>
      <c r="C23" s="12" t="s">
        <v>277</v>
      </c>
      <c r="D23" s="55"/>
      <c r="E23" s="55"/>
      <c r="F23" s="55"/>
      <c r="G23" s="55" t="s">
        <v>217</v>
      </c>
      <c r="H23" s="32"/>
      <c r="I23" s="75">
        <f t="shared" ref="I23:I29" si="1">IFERROR(_xlfn.IFS(D23="EXISTE UN SG-PDP VALIDADO Y MANTENIDO. LAS RUTINAS PDP SE PRACTICAN. PLAN DE SIMULACROS ACTIVO. GRC ARTICULADO Y REFERESCADO",1,E23="EXISTE PROYECTO SG-PDP. NO ESTÁ VALIDADO. LAS RUTINAS PDP SE PRACTICAN. PLAN DE SIMULACROS FASE INICIAL. PANSI EN FASE INICIAL.",2,F23="PROYECTO SG-PDP INSIPIENTE. HAY DPO, ALGUNOS DOCUMENTOS, HAY EQUIPO INTERNO. NO HAY GRC. NO HAY PANSI",3,G23="NO HAY PROYECTO SG-PDP. HAY DPO, ALGUNOS DOCUMENTOS, NO HAY EQUIPO INTERNO. NO HAY APOYO DE LA GERENCIA. EL DPD TIENE TODA LA CARGA",4),0)</f>
        <v>4</v>
      </c>
      <c r="J23" s="6"/>
      <c r="K23" s="16"/>
      <c r="L23" s="16"/>
      <c r="M23" s="36"/>
      <c r="N23" s="6"/>
      <c r="O23" s="6"/>
      <c r="P23" s="12"/>
      <c r="Q23" s="35"/>
      <c r="R23" s="6"/>
      <c r="S23" s="10"/>
      <c r="T23" s="10"/>
      <c r="U23" s="10"/>
      <c r="V23" s="5"/>
      <c r="W23" s="6"/>
      <c r="X23" s="6"/>
      <c r="Y23" s="10"/>
      <c r="Z23" s="10"/>
      <c r="AA23" s="10"/>
      <c r="AB23" s="10"/>
      <c r="AC23" s="6"/>
      <c r="AD23" s="6"/>
      <c r="AE23" s="10"/>
      <c r="AF23" s="10"/>
      <c r="AG23" s="10"/>
      <c r="AH23" s="10"/>
      <c r="AI23" s="6"/>
      <c r="AJ23" s="6"/>
      <c r="AK23" s="10"/>
      <c r="AL23" s="10"/>
      <c r="AM23" s="10"/>
      <c r="AN23" s="10"/>
      <c r="AO23" s="6"/>
      <c r="AP23" s="6"/>
      <c r="AQ23" s="10"/>
      <c r="AR23" s="10"/>
      <c r="AS23" s="10"/>
      <c r="AT23" s="10"/>
      <c r="AU23" s="6"/>
      <c r="AY23" s="12"/>
      <c r="AZ23" s="12"/>
      <c r="BA23" s="12"/>
      <c r="BB23" s="12"/>
      <c r="BC23" s="12"/>
      <c r="BD23" s="12"/>
      <c r="BE23" s="12"/>
      <c r="BF23" s="1"/>
      <c r="BG23" s="13"/>
      <c r="BH23" s="14"/>
      <c r="BI23" s="1"/>
      <c r="BJ23" s="15"/>
      <c r="BK23" s="15"/>
      <c r="BL23" s="15"/>
      <c r="BM23" s="15"/>
    </row>
    <row r="24" spans="2:65" s="2" customFormat="1" ht="60" customHeight="1" x14ac:dyDescent="0.2">
      <c r="B24" s="176"/>
      <c r="C24" s="12" t="s">
        <v>278</v>
      </c>
      <c r="D24" s="55"/>
      <c r="E24" s="55"/>
      <c r="F24" s="55" t="s">
        <v>216</v>
      </c>
      <c r="G24" s="55"/>
      <c r="H24" s="32"/>
      <c r="I24" s="75">
        <f t="shared" si="1"/>
        <v>3</v>
      </c>
      <c r="J24" s="6"/>
      <c r="K24" s="16"/>
      <c r="L24" s="16"/>
      <c r="M24" s="36"/>
      <c r="N24" s="181"/>
      <c r="O24" s="181"/>
      <c r="P24" s="181"/>
      <c r="Q24" s="181"/>
      <c r="R24" s="181"/>
      <c r="S24" s="181"/>
      <c r="T24" s="181"/>
      <c r="U24" s="181"/>
      <c r="V24" s="181"/>
      <c r="W24" s="181"/>
      <c r="X24" s="181"/>
      <c r="Y24" s="181"/>
      <c r="Z24" s="181"/>
      <c r="AA24" s="10"/>
      <c r="AB24" s="10"/>
      <c r="AC24" s="6"/>
      <c r="AD24" s="6"/>
      <c r="AE24" s="10"/>
      <c r="AF24" s="10"/>
      <c r="AG24" s="10"/>
      <c r="AH24" s="10"/>
      <c r="AI24" s="6"/>
      <c r="AJ24" s="6"/>
      <c r="AK24" s="10"/>
      <c r="AL24" s="10"/>
      <c r="AM24" s="10"/>
      <c r="AN24" s="10"/>
      <c r="AO24" s="6"/>
      <c r="AP24" s="6"/>
      <c r="AQ24" s="10"/>
      <c r="AR24" s="10"/>
      <c r="AS24" s="10"/>
      <c r="AT24" s="10"/>
      <c r="AU24" s="6"/>
      <c r="AY24" s="12"/>
      <c r="AZ24" s="12"/>
      <c r="BA24" s="12"/>
      <c r="BB24" s="12"/>
      <c r="BC24" s="12"/>
      <c r="BD24" s="12"/>
      <c r="BE24" s="12"/>
      <c r="BF24" s="1"/>
      <c r="BG24" s="13"/>
      <c r="BH24" s="14"/>
      <c r="BI24" s="1"/>
      <c r="BJ24" s="15"/>
      <c r="BK24" s="15"/>
      <c r="BL24" s="15"/>
      <c r="BM24" s="15"/>
    </row>
    <row r="25" spans="2:65" s="2" customFormat="1" ht="60" customHeight="1" x14ac:dyDescent="0.25">
      <c r="B25" s="176"/>
      <c r="C25" s="12" t="s">
        <v>279</v>
      </c>
      <c r="D25" s="55"/>
      <c r="E25" s="55"/>
      <c r="F25" s="55" t="s">
        <v>216</v>
      </c>
      <c r="G25" s="55"/>
      <c r="H25" s="32"/>
      <c r="I25" s="75">
        <f t="shared" si="1"/>
        <v>3</v>
      </c>
      <c r="J25" s="6"/>
      <c r="K25" s="16"/>
      <c r="L25" s="16"/>
      <c r="M25" s="36"/>
      <c r="N25" s="6"/>
      <c r="O25" s="6"/>
      <c r="P25" s="12"/>
      <c r="Q25" s="35"/>
      <c r="R25" s="6"/>
      <c r="S25" s="10"/>
      <c r="T25" s="10"/>
      <c r="U25" s="10"/>
      <c r="V25" s="16"/>
      <c r="W25" s="6"/>
      <c r="X25" s="6"/>
      <c r="Y25" s="10"/>
      <c r="Z25" s="10"/>
      <c r="AA25" s="10"/>
      <c r="AB25" s="10"/>
      <c r="AC25" s="6"/>
      <c r="AD25" s="6"/>
      <c r="AE25" s="10"/>
      <c r="AF25" s="10"/>
      <c r="AG25" s="10"/>
      <c r="AH25" s="10"/>
      <c r="AI25" s="6"/>
      <c r="AJ25" s="6"/>
      <c r="AK25" s="10"/>
      <c r="AL25" s="10"/>
      <c r="AM25" s="10"/>
      <c r="AN25" s="10"/>
      <c r="AO25" s="6"/>
      <c r="AP25" s="6"/>
      <c r="AQ25" s="10"/>
      <c r="AR25" s="10"/>
      <c r="AS25" s="10"/>
      <c r="AT25" s="10"/>
      <c r="AU25" s="6"/>
      <c r="AY25" s="12"/>
      <c r="AZ25" s="12"/>
      <c r="BA25" s="12"/>
      <c r="BB25" s="12"/>
      <c r="BC25" s="12"/>
      <c r="BD25" s="12"/>
      <c r="BE25" s="12"/>
      <c r="BF25" s="1"/>
      <c r="BG25" s="13"/>
      <c r="BH25" s="14"/>
      <c r="BI25" s="1"/>
      <c r="BJ25" s="15"/>
      <c r="BK25" s="15"/>
      <c r="BL25" s="15"/>
      <c r="BM25" s="15"/>
    </row>
    <row r="26" spans="2:65" s="2" customFormat="1" ht="60" customHeight="1" x14ac:dyDescent="0.25">
      <c r="B26" s="89"/>
      <c r="C26" s="12" t="s">
        <v>280</v>
      </c>
      <c r="D26" s="55"/>
      <c r="E26" s="55"/>
      <c r="F26" s="55" t="s">
        <v>216</v>
      </c>
      <c r="G26" s="55"/>
      <c r="H26" s="32"/>
      <c r="I26" s="75">
        <f t="shared" si="1"/>
        <v>3</v>
      </c>
      <c r="J26" s="6"/>
      <c r="K26" s="16"/>
      <c r="L26" s="16"/>
      <c r="M26" s="36"/>
      <c r="N26" s="6"/>
      <c r="O26" s="6"/>
      <c r="P26" s="12"/>
      <c r="Q26" s="35"/>
      <c r="R26" s="6"/>
      <c r="S26" s="10"/>
      <c r="T26" s="10"/>
      <c r="U26" s="10"/>
      <c r="V26" s="16"/>
      <c r="W26" s="6"/>
      <c r="X26" s="6"/>
      <c r="Y26" s="10"/>
      <c r="Z26" s="10"/>
      <c r="AA26" s="10"/>
      <c r="AB26" s="10"/>
      <c r="AC26" s="6"/>
      <c r="AD26" s="6"/>
      <c r="AE26" s="10"/>
      <c r="AF26" s="10"/>
      <c r="AG26" s="10"/>
      <c r="AH26" s="10"/>
      <c r="AI26" s="6"/>
      <c r="AJ26" s="6"/>
      <c r="AK26" s="10"/>
      <c r="AL26" s="10"/>
      <c r="AM26" s="10"/>
      <c r="AN26" s="10"/>
      <c r="AO26" s="6"/>
      <c r="AP26" s="6"/>
      <c r="AQ26" s="10"/>
      <c r="AR26" s="10"/>
      <c r="AS26" s="10"/>
      <c r="AT26" s="10"/>
      <c r="AU26" s="6"/>
      <c r="AY26" s="12"/>
      <c r="AZ26" s="12"/>
      <c r="BA26" s="12"/>
      <c r="BB26" s="12"/>
      <c r="BC26" s="12"/>
      <c r="BD26" s="12"/>
      <c r="BE26" s="12"/>
      <c r="BF26" s="1"/>
      <c r="BG26" s="13"/>
      <c r="BH26" s="14"/>
      <c r="BI26" s="1"/>
      <c r="BJ26" s="15"/>
      <c r="BK26" s="15"/>
      <c r="BL26" s="15"/>
      <c r="BM26" s="15"/>
    </row>
    <row r="27" spans="2:65" s="2" customFormat="1" ht="60" customHeight="1" x14ac:dyDescent="0.2">
      <c r="B27" s="89"/>
      <c r="C27" s="12" t="s">
        <v>281</v>
      </c>
      <c r="D27" s="55"/>
      <c r="E27" s="55"/>
      <c r="F27" s="55" t="s">
        <v>216</v>
      </c>
      <c r="G27" s="55"/>
      <c r="H27" s="32"/>
      <c r="I27" s="75">
        <f t="shared" si="1"/>
        <v>3</v>
      </c>
      <c r="J27" s="6"/>
      <c r="K27" s="16"/>
      <c r="L27" s="16"/>
      <c r="M27" s="36"/>
      <c r="N27" s="6"/>
      <c r="O27" s="6"/>
      <c r="P27" s="12"/>
      <c r="Q27" s="35"/>
      <c r="R27" s="6"/>
      <c r="S27" s="10"/>
      <c r="T27" s="10"/>
      <c r="U27" s="10"/>
      <c r="V27" s="16"/>
      <c r="W27" s="6"/>
      <c r="X27" s="6"/>
      <c r="Y27" s="10"/>
      <c r="Z27" s="10"/>
      <c r="AA27" s="10"/>
      <c r="AB27" s="10"/>
      <c r="AC27" s="6"/>
      <c r="AD27" s="6"/>
      <c r="AE27" s="10"/>
      <c r="AF27" s="10"/>
      <c r="AG27" s="10"/>
      <c r="AH27" s="10"/>
      <c r="AI27" s="6"/>
      <c r="AJ27" s="6"/>
      <c r="AK27" s="10"/>
      <c r="AL27" s="10"/>
      <c r="AM27" s="10"/>
      <c r="AN27" s="10"/>
      <c r="AO27" s="6"/>
      <c r="AP27" s="6"/>
      <c r="AQ27" s="10"/>
      <c r="AR27" s="10"/>
      <c r="AS27" s="10"/>
      <c r="AT27" s="10"/>
      <c r="AU27" s="6"/>
      <c r="AY27" s="12"/>
      <c r="AZ27" s="12"/>
      <c r="BA27" s="12"/>
      <c r="BB27" s="12"/>
      <c r="BC27" s="12"/>
      <c r="BD27" s="12"/>
      <c r="BE27" s="12"/>
      <c r="BF27" s="1"/>
      <c r="BG27" s="13"/>
      <c r="BH27" s="14"/>
      <c r="BI27" s="1"/>
      <c r="BJ27" s="15"/>
      <c r="BK27" s="15"/>
      <c r="BL27" s="15"/>
      <c r="BM27" s="15"/>
    </row>
    <row r="28" spans="2:65" s="2" customFormat="1" ht="60" customHeight="1" x14ac:dyDescent="0.2">
      <c r="C28" s="12" t="s">
        <v>282</v>
      </c>
      <c r="D28" s="55"/>
      <c r="E28" s="55"/>
      <c r="F28" s="55" t="s">
        <v>216</v>
      </c>
      <c r="G28" s="55"/>
      <c r="H28" s="32"/>
      <c r="I28" s="75">
        <f t="shared" si="1"/>
        <v>3</v>
      </c>
      <c r="J28" s="6"/>
      <c r="K28" s="8"/>
      <c r="L28" s="16"/>
      <c r="M28" s="36"/>
      <c r="N28" s="181"/>
      <c r="O28" s="181"/>
      <c r="P28" s="181"/>
      <c r="Q28" s="181"/>
      <c r="R28" s="181"/>
      <c r="S28" s="181"/>
      <c r="T28" s="181"/>
      <c r="U28" s="181"/>
      <c r="V28" s="181"/>
      <c r="W28" s="181"/>
      <c r="X28" s="181"/>
      <c r="Y28" s="181"/>
      <c r="Z28" s="181"/>
      <c r="AA28" s="10"/>
      <c r="AB28" s="10"/>
      <c r="AC28" s="6"/>
      <c r="AD28" s="6"/>
      <c r="AE28" s="10"/>
      <c r="AF28" s="10"/>
      <c r="AG28" s="10"/>
      <c r="AH28" s="10"/>
      <c r="AI28" s="6"/>
      <c r="AJ28" s="6"/>
      <c r="AK28" s="10"/>
      <c r="AL28" s="10"/>
      <c r="AM28" s="10"/>
      <c r="AN28" s="10"/>
      <c r="AO28" s="6"/>
      <c r="AP28" s="6"/>
      <c r="AQ28" s="10"/>
      <c r="AR28" s="10"/>
      <c r="AS28" s="10"/>
      <c r="AT28" s="10"/>
      <c r="AU28" s="6"/>
      <c r="AY28" s="12"/>
      <c r="AZ28" s="12"/>
      <c r="BA28" s="12"/>
      <c r="BB28" s="12"/>
      <c r="BC28" s="12"/>
      <c r="BD28" s="12"/>
      <c r="BE28" s="12"/>
      <c r="BF28" s="1"/>
      <c r="BG28" s="13"/>
      <c r="BH28" s="14"/>
      <c r="BI28" s="1"/>
      <c r="BJ28" s="15"/>
      <c r="BK28" s="15"/>
      <c r="BL28" s="15"/>
      <c r="BM28" s="15"/>
    </row>
    <row r="29" spans="2:65" ht="60" customHeight="1" x14ac:dyDescent="0.2">
      <c r="C29" s="12"/>
      <c r="D29" s="55"/>
      <c r="E29" s="55"/>
      <c r="F29" s="55"/>
      <c r="G29" s="55"/>
      <c r="H29" s="32"/>
      <c r="I29" s="75">
        <f t="shared" si="1"/>
        <v>0</v>
      </c>
      <c r="M29" s="36"/>
      <c r="V29" s="10"/>
    </row>
    <row r="30" spans="2:65" ht="51" customHeight="1" x14ac:dyDescent="0.2">
      <c r="M30" s="36"/>
      <c r="N30" s="181"/>
      <c r="O30" s="181"/>
      <c r="P30" s="181"/>
      <c r="Q30" s="181"/>
      <c r="R30" s="181"/>
      <c r="S30" s="181"/>
      <c r="T30" s="181"/>
      <c r="U30" s="181"/>
      <c r="V30" s="181"/>
      <c r="W30" s="181"/>
      <c r="X30" s="181"/>
      <c r="Y30" s="181"/>
      <c r="Z30" s="181"/>
    </row>
  </sheetData>
  <sheetProtection algorithmName="SHA-512" hashValue="INu89Hu5WUiR6wJvGXkJmJu+UvwJuiW20VuXEqQg9gMETsH/pRXXxPZvv9axUvfkEeZzCrRPk2rkX87FLU4buQ==" saltValue="k4B7EZvMrXXJvMfmU2AHWw==" spinCount="100000" sheet="1" selectLockedCells="1"/>
  <mergeCells count="14">
    <mergeCell ref="C2:H2"/>
    <mergeCell ref="B11:B25"/>
    <mergeCell ref="N21:Z21"/>
    <mergeCell ref="N24:Z24"/>
    <mergeCell ref="N28:Z28"/>
    <mergeCell ref="O5:Z5"/>
    <mergeCell ref="D6:G6"/>
    <mergeCell ref="D20:G20"/>
    <mergeCell ref="N30:Z30"/>
    <mergeCell ref="O20:Z20"/>
    <mergeCell ref="N6:Z6"/>
    <mergeCell ref="N8:Z8"/>
    <mergeCell ref="N9:Z9"/>
    <mergeCell ref="N10:Z10"/>
  </mergeCells>
  <dataValidations count="1">
    <dataValidation type="list" allowBlank="1" showInputMessage="1" showErrorMessage="1" sqref="L10:L15 K10:K17 K18:L27 Q25:Q27 Q7 Q23" xr:uid="{F20B20FC-05C1-4D64-97B2-523BBA2BBE0E}">
      <formula1>"X"</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9C90C216-3B2B-4DA2-8888-29AD5FA70280}">
          <x14:formula1>
            <xm:f>'CRITERIOS CELDAS RAT-MTGE'!$X$11</xm:f>
          </x14:formula1>
          <xm:sqref>D23:D29 D10:D18</xm:sqref>
        </x14:dataValidation>
        <x14:dataValidation type="list" allowBlank="1" showInputMessage="1" showErrorMessage="1" xr:uid="{86D384A8-C905-4672-AD79-392862798B90}">
          <x14:formula1>
            <xm:f>'CRITERIOS CELDAS RAT-MTGE'!$AA$11</xm:f>
          </x14:formula1>
          <xm:sqref>E23:E29 E10:E18</xm:sqref>
        </x14:dataValidation>
        <x14:dataValidation type="list" allowBlank="1" showInputMessage="1" showErrorMessage="1" xr:uid="{E7B25D7A-2FC1-42E6-AD35-E6A52CF8B2F3}">
          <x14:formula1>
            <xm:f>'CRITERIOS CELDAS RAT-MTGE'!$AD$11</xm:f>
          </x14:formula1>
          <xm:sqref>F23:F29 F10:F18</xm:sqref>
        </x14:dataValidation>
        <x14:dataValidation type="list" allowBlank="1" showInputMessage="1" showErrorMessage="1" xr:uid="{6F43E486-2AD1-4BDE-B1F3-A49872D07B11}">
          <x14:formula1>
            <xm:f>'CRITERIOS CELDAS RAT-MTGE'!$AG$11</xm:f>
          </x14:formula1>
          <xm:sqref>G23:G29 G10:G18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4C813-5118-4669-9D7C-D83CD37B4FC1}">
  <dimension ref="B3:X30"/>
  <sheetViews>
    <sheetView showGridLines="0" topLeftCell="A9" zoomScale="37" zoomScaleNormal="37" workbookViewId="0">
      <selection activeCell="N21" sqref="N21"/>
    </sheetView>
  </sheetViews>
  <sheetFormatPr defaultColWidth="11.43359375" defaultRowHeight="14.25" x14ac:dyDescent="0.2"/>
  <cols>
    <col min="1" max="1" width="11.43359375" style="6" customWidth="1"/>
    <col min="2" max="2" width="28.515625" style="6" customWidth="1"/>
    <col min="3" max="3" width="21.1171875" style="6" customWidth="1"/>
    <col min="4" max="4" width="20.58203125" style="2" customWidth="1"/>
    <col min="5" max="5" width="37.6640625" style="2" customWidth="1"/>
    <col min="6" max="6" width="16.140625" style="2" customWidth="1"/>
    <col min="7" max="7" width="11.43359375" style="2" customWidth="1"/>
    <col min="8" max="8" width="16.0078125" style="2" customWidth="1"/>
    <col min="9" max="9" width="11.02734375" style="2" customWidth="1"/>
    <col min="10" max="10" width="1.61328125" style="2" customWidth="1"/>
    <col min="11" max="11" width="13.5859375" style="2" customWidth="1"/>
    <col min="12" max="12" width="13.71875" style="2" customWidth="1"/>
    <col min="13" max="13" width="1.61328125" style="2" customWidth="1"/>
    <col min="14" max="15" width="23.9453125" style="2" customWidth="1"/>
    <col min="16" max="16" width="23.9453125" style="6" customWidth="1"/>
    <col min="17" max="17" width="20.04296875" style="6" customWidth="1"/>
    <col min="18" max="18" width="19.1015625" style="6" customWidth="1"/>
    <col min="19" max="19" width="20.04296875" style="6" customWidth="1"/>
    <col min="20" max="20" width="18.96484375" style="6" customWidth="1"/>
    <col min="21" max="21" width="1.61328125" style="6" customWidth="1"/>
    <col min="22" max="24" width="30.53515625" style="6" customWidth="1"/>
    <col min="25" max="16384" width="11.43359375" style="6"/>
  </cols>
  <sheetData>
    <row r="3" spans="2:24" ht="20.45" customHeight="1" x14ac:dyDescent="0.2">
      <c r="N3" s="188" t="s">
        <v>283</v>
      </c>
      <c r="O3" s="188"/>
      <c r="P3" s="188"/>
      <c r="Q3" s="188"/>
      <c r="R3" s="188"/>
      <c r="S3" s="188"/>
    </row>
    <row r="4" spans="2:24" ht="20.45" customHeight="1" x14ac:dyDescent="0.2">
      <c r="N4" s="188"/>
      <c r="O4" s="188"/>
      <c r="P4" s="188"/>
      <c r="Q4" s="188"/>
      <c r="R4" s="188"/>
      <c r="S4" s="188"/>
    </row>
    <row r="5" spans="2:24" ht="20.45" customHeight="1" x14ac:dyDescent="0.2">
      <c r="N5" s="188"/>
      <c r="O5" s="188"/>
      <c r="P5" s="188"/>
      <c r="Q5" s="188"/>
      <c r="R5" s="188"/>
      <c r="S5" s="188"/>
    </row>
    <row r="7" spans="2:24" x14ac:dyDescent="0.2">
      <c r="N7" s="189" t="s">
        <v>27</v>
      </c>
      <c r="O7" s="189"/>
      <c r="P7" s="189"/>
      <c r="Q7" s="189"/>
      <c r="R7" s="189"/>
      <c r="S7" s="189"/>
      <c r="T7" s="189"/>
    </row>
    <row r="8" spans="2:24" ht="15" thickBot="1" x14ac:dyDescent="0.25"/>
    <row r="9" spans="2:24" x14ac:dyDescent="0.2">
      <c r="N9" s="6"/>
      <c r="O9" s="6"/>
      <c r="Q9" s="190" t="s">
        <v>9</v>
      </c>
      <c r="R9" s="190"/>
      <c r="S9" s="190" t="s">
        <v>10</v>
      </c>
      <c r="T9" s="190"/>
    </row>
    <row r="10" spans="2:24" ht="44.25" x14ac:dyDescent="0.25">
      <c r="B10" s="100" t="s">
        <v>273</v>
      </c>
      <c r="C10" s="21" t="s">
        <v>11</v>
      </c>
      <c r="D10" s="21" t="s">
        <v>12</v>
      </c>
      <c r="E10" s="21" t="s">
        <v>23</v>
      </c>
      <c r="F10" s="25" t="s">
        <v>13</v>
      </c>
      <c r="G10" s="22" t="s">
        <v>24</v>
      </c>
      <c r="H10" s="21" t="s">
        <v>14</v>
      </c>
      <c r="I10" s="22" t="s">
        <v>25</v>
      </c>
      <c r="J10" s="30"/>
      <c r="K10" s="23" t="s">
        <v>28</v>
      </c>
      <c r="L10" s="23" t="s">
        <v>22</v>
      </c>
      <c r="M10" s="18"/>
      <c r="N10" s="21" t="s">
        <v>16</v>
      </c>
      <c r="O10" s="21" t="s">
        <v>17</v>
      </c>
      <c r="P10" s="21" t="s">
        <v>15</v>
      </c>
      <c r="Q10" s="21" t="s">
        <v>18</v>
      </c>
      <c r="R10" s="21" t="s">
        <v>1</v>
      </c>
      <c r="S10" s="21" t="s">
        <v>19</v>
      </c>
      <c r="T10" s="21" t="s">
        <v>20</v>
      </c>
      <c r="U10" s="24"/>
      <c r="V10" s="187" t="s">
        <v>275</v>
      </c>
      <c r="W10" s="187"/>
      <c r="X10" s="187"/>
    </row>
    <row r="11" spans="2:24" s="1" customFormat="1" ht="97.15" customHeight="1" x14ac:dyDescent="0.2">
      <c r="C11" s="191" t="str">
        <f>'RAT-MTGE MEDICINA OCUPACIONAL'!D3</f>
        <v>EXÁMENES MÉDICOS OBLIGATORIOS                                                     (Pre ocupacional, Periódica y Retiro)</v>
      </c>
      <c r="D11" s="26" t="str">
        <f>+'OPERACIONES-MEDIOS-PROBABILIDAD'!C10</f>
        <v>ENVIO DE LISTADO AL LABORATORIO (PATD RESPONSABLE)</v>
      </c>
      <c r="E11" s="73" t="str">
        <f>'OPERACIONES-MEDIOS-PROBABILIDAD'!H10</f>
        <v xml:space="preserve">Los datos están en distintos repositorios (Laboratorio, Correo electronico, Médico ocupacional, Área de recursos humanos, archivo impreso, otros), sin esquema PDP y con bajo nivel de seguridad en PDP (PANSI EN FASE INICIAL). No hay contratos con cláusulas PDP con encargados de tratamiento (Laboratoio y Médico Ocupacional), ni con PATD de TRAUMA ORTOPEDICS). </v>
      </c>
      <c r="F11" s="27" t="str">
        <f>IF(G11&lt;=2,"MÍNIMO",IF(G11&gt;=12,"MUY GRAVE",IF(AND(G11&gt;=2.01,G11&lt;=6),"GRAVE","ALTO")))</f>
        <v>GRAVE</v>
      </c>
      <c r="G11" s="19">
        <f>'DERECHOS Y LIBERTADES AFECTADOS'!$I$22</f>
        <v>3</v>
      </c>
      <c r="H11" s="19" t="str">
        <f>IF(I11&lt;=2,"IMPROBABLE",IF(I11&gt;=12,"MUY PROBABLE",IF(AND(I11&gt;=2.01,I11&lt;=6),"MEDIA BAJA","MEDIA ALTA")))</f>
        <v>MEDIA BAJA</v>
      </c>
      <c r="I11" s="19">
        <f>'OPERACIONES-MEDIOS-PROBABILIDAD'!I10</f>
        <v>3</v>
      </c>
      <c r="J11" s="31"/>
      <c r="K11" s="19" t="str">
        <f>IF(L11&lt;=2,"MÍNIMO-ESTIMADO",IF(L11&gt;=12,"MUY ALTO",IF(AND(L11&gt;=6.01,L11&lt;=11.99),"ALTO","MEDIO")))</f>
        <v>ALTO</v>
      </c>
      <c r="L11" s="20">
        <f t="shared" ref="L11:L29" si="0">G11*I11</f>
        <v>9</v>
      </c>
      <c r="M11" s="28"/>
      <c r="N11" s="34"/>
      <c r="O11" s="34"/>
      <c r="P11" s="34"/>
      <c r="Q11" s="34"/>
      <c r="R11" s="34"/>
      <c r="S11" s="34"/>
      <c r="T11" s="34"/>
      <c r="U11" s="29"/>
      <c r="V11" s="186" t="s">
        <v>276</v>
      </c>
      <c r="W11" s="186"/>
      <c r="X11" s="186"/>
    </row>
    <row r="12" spans="2:24" s="1" customFormat="1" ht="97.15" customHeight="1" x14ac:dyDescent="0.2">
      <c r="C12" s="191"/>
      <c r="D12" s="26" t="str">
        <f>+'OPERACIONES-MEDIOS-PROBABILIDAD'!C11</f>
        <v>CARGA DE DATOS EN PLATAFORMA (PATD ENCARGADO)</v>
      </c>
      <c r="E12" s="73" t="str">
        <f>'OPERACIONES-MEDIOS-PROBABILIDAD'!H11</f>
        <v>Los datos están en distintos repositorios (Laboratorio, Correo electronico, Médico ocupacional, Área de recursos humanos, archivo impreso, otros), sin esquema PDP y con bajo nivel de seguridad en PDP (PANSI EN FASE INICIAL). No hay contratos con cláusulas PDP con encargados de tratamiento (Laboratoio y Médico Ocupacional)</v>
      </c>
      <c r="F12" s="27" t="str">
        <f t="shared" ref="F12:F18" si="1">IF(G12&lt;=2,"MÍNIMO",IF(G12&gt;=12,"MUY GRAVE",IF(AND(G12&gt;=2.01,G12&lt;=6),"GRAVE","ALTO")))</f>
        <v>GRAVE</v>
      </c>
      <c r="G12" s="19">
        <f>'DERECHOS Y LIBERTADES AFECTADOS'!$I$22</f>
        <v>3</v>
      </c>
      <c r="H12" s="19" t="str">
        <f t="shared" ref="H12:H18" si="2">IF(I12&lt;=2,"IMPROBABLE",IF(I12&gt;=12,"ALTA",IF(AND(I12&gt;=2.01,I12&lt;=6),"MEDIA BAJA","MEDIA ALTA")))</f>
        <v>MEDIA BAJA</v>
      </c>
      <c r="I12" s="19">
        <f>'OPERACIONES-MEDIOS-PROBABILIDAD'!I11</f>
        <v>3</v>
      </c>
      <c r="J12" s="31"/>
      <c r="K12" s="19" t="str">
        <f t="shared" ref="K12:K18" si="3">IF(L12&lt;=2,"MÍNIMO-ESTIMADO",IF(L12&gt;=12,"MUY ALTO",IF(AND(L12&gt;=6.01,L12&lt;=11.99),"ALTO","MEDIO")))</f>
        <v>ALTO</v>
      </c>
      <c r="L12" s="20">
        <f t="shared" si="0"/>
        <v>9</v>
      </c>
      <c r="N12" s="34"/>
      <c r="O12" s="34"/>
      <c r="P12" s="34"/>
      <c r="Q12" s="34"/>
      <c r="R12" s="34"/>
      <c r="S12" s="34"/>
      <c r="T12" s="34"/>
      <c r="V12" s="185"/>
      <c r="W12" s="185"/>
      <c r="X12" s="185"/>
    </row>
    <row r="13" spans="2:24" s="1" customFormat="1" ht="97.15" customHeight="1" x14ac:dyDescent="0.2">
      <c r="C13" s="191"/>
      <c r="D13" s="26" t="str">
        <f>+'OPERACIONES-MEDIOS-PROBABILIDAD'!C12</f>
        <v>ACCESO A LA PLATAFORMA (PATD RESPONSABLE)</v>
      </c>
      <c r="E13" s="73" t="str">
        <f>'OPERACIONES-MEDIOS-PROBABILIDAD'!H12</f>
        <v>Si bien son datos de categoría especial una posible brecha no pone en riesgo la vida de ningún Titular ni las condiciones para el desarrollo humano como la salud, alimentación o entorno seguro. Se está trabajando para iniciar el proyecto de adecuación del nivel de seguridad inicial y por ello se califica el nivel de impacto o posible daño como alto por tratarse de datos de categoría especial pero con impacto menor sobre el derecho a la vida digna, pero una brecha de datos de categoría especial puede comprometer otros derechos y libertades causando un daño a los titulares de los datos.</v>
      </c>
      <c r="F13" s="27" t="str">
        <f t="shared" si="1"/>
        <v>GRAVE</v>
      </c>
      <c r="G13" s="19">
        <f>'DERECHOS Y LIBERTADES AFECTADOS'!$I$22</f>
        <v>3</v>
      </c>
      <c r="H13" s="19" t="str">
        <f t="shared" si="2"/>
        <v>MEDIA BAJA</v>
      </c>
      <c r="I13" s="19">
        <f>'OPERACIONES-MEDIOS-PROBABILIDAD'!I12</f>
        <v>3</v>
      </c>
      <c r="J13" s="31"/>
      <c r="K13" s="19" t="str">
        <f t="shared" si="3"/>
        <v>ALTO</v>
      </c>
      <c r="L13" s="20">
        <f t="shared" si="0"/>
        <v>9</v>
      </c>
      <c r="N13" s="34"/>
      <c r="O13" s="34"/>
      <c r="P13" s="34"/>
      <c r="Q13" s="34"/>
      <c r="R13" s="34"/>
      <c r="S13" s="34"/>
      <c r="T13" s="34"/>
      <c r="V13" s="185"/>
      <c r="W13" s="185"/>
      <c r="X13" s="185"/>
    </row>
    <row r="14" spans="2:24" s="1" customFormat="1" ht="97.15" customHeight="1" x14ac:dyDescent="0.2">
      <c r="C14" s="191"/>
      <c r="D14" s="26" t="str">
        <f>+'OPERACIONES-MEDIOS-PROBABILIDAD'!C13</f>
        <v>DESCARGA DE RESULTADOS EN DISCO DURO (PATD RESPONSABLE)</v>
      </c>
      <c r="E14" s="73" t="str">
        <f>'OPERACIONES-MEDIOS-PROBABILIDAD'!H13</f>
        <v>La calificación se corresponde a que aún no existe un esquema de protección de datos extendido a los proveedores del servicio (Encargados de tratamiento) ni están especificados en el contrato las condiciones que impone la triada PDP ecuatoriana. El riesgo sobre el derecho a la Salud  NO se ve cmprometido, pero una brecha de datos de categoría especial puede comprometer otros derechos y libertades causando un daño a los titulares de los datos.</v>
      </c>
      <c r="F14" s="27" t="str">
        <f t="shared" si="1"/>
        <v>GRAVE</v>
      </c>
      <c r="G14" s="19">
        <f>'DERECHOS Y LIBERTADES AFECTADOS'!$I$22</f>
        <v>3</v>
      </c>
      <c r="H14" s="19" t="str">
        <f t="shared" si="2"/>
        <v>MEDIA BAJA</v>
      </c>
      <c r="I14" s="19">
        <f>'OPERACIONES-MEDIOS-PROBABILIDAD'!I13</f>
        <v>3</v>
      </c>
      <c r="J14" s="31"/>
      <c r="K14" s="19" t="str">
        <f t="shared" si="3"/>
        <v>ALTO</v>
      </c>
      <c r="L14" s="20">
        <f t="shared" si="0"/>
        <v>9</v>
      </c>
      <c r="N14" s="34"/>
      <c r="O14" s="34"/>
      <c r="P14" s="34"/>
      <c r="Q14" s="34"/>
      <c r="R14" s="34"/>
      <c r="S14" s="34"/>
      <c r="T14" s="34"/>
      <c r="V14" s="185"/>
      <c r="W14" s="185"/>
      <c r="X14" s="185"/>
    </row>
    <row r="15" spans="2:24" s="1" customFormat="1" ht="97.15" customHeight="1" x14ac:dyDescent="0.2">
      <c r="C15" s="191"/>
      <c r="D15" s="26" t="str">
        <f>+'OPERACIONES-MEDIOS-PROBABILIDAD'!C14</f>
        <v>TRANSFERENCIA DE DATOS A MÉDICO OCUPACIONAL (PATD RESPONSABLE)</v>
      </c>
      <c r="E15" s="73">
        <f>'OPERACIONES-MEDIOS-PROBABILIDAD'!H14</f>
        <v>0</v>
      </c>
      <c r="F15" s="27" t="str">
        <f t="shared" si="1"/>
        <v>GRAVE</v>
      </c>
      <c r="G15" s="19">
        <f>'DERECHOS Y LIBERTADES AFECTADOS'!$I$22</f>
        <v>3</v>
      </c>
      <c r="H15" s="19" t="str">
        <f t="shared" si="2"/>
        <v>IMPROBABLE</v>
      </c>
      <c r="I15" s="19">
        <f>'OPERACIONES-MEDIOS-PROBABILIDAD'!I14</f>
        <v>0</v>
      </c>
      <c r="J15" s="31"/>
      <c r="K15" s="19" t="str">
        <f t="shared" si="3"/>
        <v>MÍNIMO-ESTIMADO</v>
      </c>
      <c r="L15" s="20">
        <f t="shared" si="0"/>
        <v>0</v>
      </c>
      <c r="N15" s="34"/>
      <c r="O15" s="34"/>
      <c r="P15" s="34"/>
      <c r="Q15" s="34"/>
      <c r="R15" s="34"/>
      <c r="S15" s="34"/>
      <c r="T15" s="34"/>
      <c r="V15" s="185"/>
      <c r="W15" s="185"/>
      <c r="X15" s="185"/>
    </row>
    <row r="16" spans="2:24" s="1" customFormat="1" ht="97.15" customHeight="1" x14ac:dyDescent="0.2">
      <c r="C16" s="191"/>
      <c r="D16" s="26" t="str">
        <f>+'OPERACIONES-MEDIOS-PROBABILIDAD'!C15</f>
        <v>TRANSFERENCIA DE DATOS A TITULAR DE LOS DATOS (PATD RESPONSABLE)</v>
      </c>
      <c r="E16" s="73">
        <f>'OPERACIONES-MEDIOS-PROBABILIDAD'!H15</f>
        <v>0</v>
      </c>
      <c r="F16" s="27" t="str">
        <f t="shared" si="1"/>
        <v>GRAVE</v>
      </c>
      <c r="G16" s="19">
        <f>'DERECHOS Y LIBERTADES AFECTADOS'!$I$22</f>
        <v>3</v>
      </c>
      <c r="H16" s="19" t="str">
        <f t="shared" si="2"/>
        <v>IMPROBABLE</v>
      </c>
      <c r="I16" s="19">
        <f>'OPERACIONES-MEDIOS-PROBABILIDAD'!I15</f>
        <v>0</v>
      </c>
      <c r="J16" s="31"/>
      <c r="K16" s="19" t="str">
        <f t="shared" si="3"/>
        <v>MÍNIMO-ESTIMADO</v>
      </c>
      <c r="L16" s="20">
        <f t="shared" si="0"/>
        <v>0</v>
      </c>
      <c r="N16" s="34"/>
      <c r="O16" s="34"/>
      <c r="P16" s="34"/>
      <c r="Q16" s="34"/>
      <c r="R16" s="34"/>
      <c r="S16" s="34"/>
      <c r="T16" s="34"/>
      <c r="V16" s="185"/>
      <c r="W16" s="185"/>
      <c r="X16" s="185"/>
    </row>
    <row r="17" spans="2:24" s="1" customFormat="1" ht="97.15" customHeight="1" x14ac:dyDescent="0.2">
      <c r="C17" s="191"/>
      <c r="D17" s="26" t="str">
        <f>+'OPERACIONES-MEDIOS-PROBABILIDAD'!C16</f>
        <v>RECEPCIÓN DE TRANSFERENCIA DE RESULTADOS (PATD ENCARGADO)</v>
      </c>
      <c r="E17" s="73">
        <f>'OPERACIONES-MEDIOS-PROBABILIDAD'!H16</f>
        <v>0</v>
      </c>
      <c r="F17" s="27" t="str">
        <f t="shared" si="1"/>
        <v>GRAVE</v>
      </c>
      <c r="G17" s="19">
        <f>'DERECHOS Y LIBERTADES AFECTADOS'!$I$22</f>
        <v>3</v>
      </c>
      <c r="H17" s="19" t="str">
        <f t="shared" si="2"/>
        <v>IMPROBABLE</v>
      </c>
      <c r="I17" s="19">
        <f>'OPERACIONES-MEDIOS-PROBABILIDAD'!I16</f>
        <v>0</v>
      </c>
      <c r="J17" s="31"/>
      <c r="K17" s="19" t="str">
        <f t="shared" si="3"/>
        <v>MÍNIMO-ESTIMADO</v>
      </c>
      <c r="L17" s="20">
        <f t="shared" si="0"/>
        <v>0</v>
      </c>
      <c r="N17" s="34"/>
      <c r="O17" s="34"/>
      <c r="P17" s="34"/>
      <c r="Q17" s="34"/>
      <c r="R17" s="34"/>
      <c r="S17" s="34"/>
      <c r="T17" s="34"/>
      <c r="V17" s="185"/>
      <c r="W17" s="185"/>
      <c r="X17" s="185"/>
    </row>
    <row r="18" spans="2:24" s="1" customFormat="1" ht="97.15" customHeight="1" x14ac:dyDescent="0.2">
      <c r="C18" s="191"/>
      <c r="D18" s="26" t="str">
        <f>+'OPERACIONES-MEDIOS-PROBABILIDAD'!C17</f>
        <v>CONSERVACIÓN DE RESULTADOS (PATD ENCARGADO)</v>
      </c>
      <c r="E18" s="73">
        <f>'OPERACIONES-MEDIOS-PROBABILIDAD'!H17</f>
        <v>0</v>
      </c>
      <c r="F18" s="27" t="str">
        <f t="shared" si="1"/>
        <v>GRAVE</v>
      </c>
      <c r="G18" s="19">
        <f>'DERECHOS Y LIBERTADES AFECTADOS'!I$22</f>
        <v>3</v>
      </c>
      <c r="H18" s="19" t="str">
        <f t="shared" si="2"/>
        <v>IMPROBABLE</v>
      </c>
      <c r="I18" s="19">
        <f>'OPERACIONES-MEDIOS-PROBABILIDAD'!I17</f>
        <v>0</v>
      </c>
      <c r="J18" s="31"/>
      <c r="K18" s="19" t="str">
        <f t="shared" si="3"/>
        <v>MÍNIMO-ESTIMADO</v>
      </c>
      <c r="L18" s="20">
        <f t="shared" si="0"/>
        <v>0</v>
      </c>
      <c r="N18" s="34"/>
      <c r="O18" s="34"/>
      <c r="P18" s="34"/>
      <c r="Q18" s="34"/>
      <c r="R18" s="34"/>
      <c r="S18" s="34"/>
      <c r="T18" s="34"/>
      <c r="V18" s="185"/>
      <c r="W18" s="185"/>
      <c r="X18" s="185"/>
    </row>
    <row r="19" spans="2:24" s="94" customFormat="1" ht="45" customHeight="1" x14ac:dyDescent="0.2">
      <c r="C19" s="99"/>
      <c r="D19" s="90"/>
      <c r="E19" s="91"/>
      <c r="F19" s="92"/>
      <c r="G19" s="92"/>
      <c r="H19" s="92"/>
      <c r="I19" s="92"/>
      <c r="J19" s="93"/>
      <c r="K19" s="92"/>
      <c r="L19"/>
      <c r="N19" s="95"/>
      <c r="O19" s="95"/>
      <c r="P19" s="95"/>
      <c r="Q19" s="95"/>
      <c r="R19" s="95"/>
      <c r="S19" s="95"/>
      <c r="T19" s="95"/>
    </row>
    <row r="20" spans="2:24" ht="59.45" customHeight="1" x14ac:dyDescent="0.25">
      <c r="B20" s="100" t="s">
        <v>274</v>
      </c>
      <c r="C20" s="21" t="s">
        <v>11</v>
      </c>
      <c r="D20" s="21" t="s">
        <v>12</v>
      </c>
      <c r="E20" s="21" t="s">
        <v>23</v>
      </c>
      <c r="F20" s="25" t="s">
        <v>13</v>
      </c>
      <c r="G20" s="22" t="s">
        <v>24</v>
      </c>
      <c r="H20" s="21" t="s">
        <v>14</v>
      </c>
      <c r="I20" s="22" t="s">
        <v>25</v>
      </c>
      <c r="J20" s="30"/>
      <c r="K20" s="23" t="s">
        <v>28</v>
      </c>
      <c r="L20" s="23" t="s">
        <v>22</v>
      </c>
      <c r="M20" s="18"/>
      <c r="N20" s="21" t="s">
        <v>16</v>
      </c>
      <c r="O20" s="21" t="s">
        <v>17</v>
      </c>
      <c r="P20" s="21" t="s">
        <v>15</v>
      </c>
      <c r="Q20" s="21" t="s">
        <v>18</v>
      </c>
      <c r="R20" s="21" t="s">
        <v>1</v>
      </c>
      <c r="S20" s="21" t="s">
        <v>19</v>
      </c>
      <c r="T20" s="21" t="s">
        <v>20</v>
      </c>
      <c r="U20" s="24"/>
      <c r="V20" s="187" t="s">
        <v>275</v>
      </c>
      <c r="W20" s="187"/>
      <c r="X20" s="187"/>
    </row>
    <row r="21" spans="2:24" s="1" customFormat="1" ht="106.9" customHeight="1" x14ac:dyDescent="0.2">
      <c r="C21" s="96"/>
      <c r="D21" s="26" t="str">
        <f>+'OPERACIONES-MEDIOS-PROBABILIDAD'!C23</f>
        <v>CORREO ELECTRÓNICO</v>
      </c>
      <c r="E21" s="73">
        <f>'OPERACIONES-MEDIOS-PROBABILIDAD'!H23</f>
        <v>0</v>
      </c>
      <c r="F21" s="27" t="str">
        <f t="shared" ref="F21:F26" si="4">IF(G21&lt;=2,"MÍNIMO",IF(G21&gt;=12,"MUY GRAVE",IF(AND(G21&gt;=2.01,G21&lt;=6),"GRAVE","ALTO")))</f>
        <v>GRAVE</v>
      </c>
      <c r="G21" s="19">
        <f>'DERECHOS Y LIBERTADES AFECTADOS'!I10</f>
        <v>3</v>
      </c>
      <c r="H21" s="19" t="str">
        <f t="shared" ref="H21:H26" si="5">IF(I21&lt;=2,"IMPROBABLE",IF(I21&gt;=12,"ALTA",IF(AND(I21&gt;=2.01,I21&lt;=6),"MEDIA BAJA","MEDIA ALTA")))</f>
        <v>MEDIA BAJA</v>
      </c>
      <c r="I21" s="19">
        <f>'OPERACIONES-MEDIOS-PROBABILIDAD'!I23</f>
        <v>4</v>
      </c>
      <c r="J21" s="31"/>
      <c r="K21" s="19" t="str">
        <f t="shared" ref="K21:K26" si="6">IF(L21&lt;=2,"MÍNIMO-ESTIMADO",IF(L21&gt;=12,"MUY ALTO",IF(AND(L21&gt;=6.01,L21&lt;=11.99),"ALTO","MEDIO")))</f>
        <v>MUY ALTO</v>
      </c>
      <c r="L21" s="20">
        <f t="shared" si="0"/>
        <v>12</v>
      </c>
      <c r="N21" s="34"/>
      <c r="O21" s="34"/>
      <c r="P21" s="34"/>
      <c r="Q21" s="34"/>
      <c r="R21" s="34"/>
      <c r="S21" s="34"/>
      <c r="T21" s="34"/>
      <c r="V21" s="186" t="s">
        <v>276</v>
      </c>
      <c r="W21" s="186"/>
      <c r="X21" s="186"/>
    </row>
    <row r="22" spans="2:24" s="1" customFormat="1" ht="45" customHeight="1" x14ac:dyDescent="0.2">
      <c r="C22" s="97"/>
      <c r="D22" s="26" t="str">
        <f>+'OPERACIONES-MEDIOS-PROBABILIDAD'!C24</f>
        <v>PLATAFORMA LABORATORIO</v>
      </c>
      <c r="E22" s="73">
        <f>'OPERACIONES-MEDIOS-PROBABILIDAD'!H24</f>
        <v>0</v>
      </c>
      <c r="F22" s="27" t="str">
        <f t="shared" si="4"/>
        <v>GRAVE</v>
      </c>
      <c r="G22" s="19">
        <f>'DERECHOS Y LIBERTADES AFECTADOS'!I11</f>
        <v>3</v>
      </c>
      <c r="H22" s="19" t="str">
        <f t="shared" si="5"/>
        <v>MEDIA BAJA</v>
      </c>
      <c r="I22" s="19">
        <f>'OPERACIONES-MEDIOS-PROBABILIDAD'!I24</f>
        <v>3</v>
      </c>
      <c r="J22" s="31"/>
      <c r="K22" s="19" t="str">
        <f t="shared" si="6"/>
        <v>ALTO</v>
      </c>
      <c r="L22" s="20">
        <f t="shared" si="0"/>
        <v>9</v>
      </c>
      <c r="N22" s="34"/>
      <c r="O22" s="34"/>
      <c r="P22" s="34"/>
      <c r="Q22" s="34"/>
      <c r="R22" s="34"/>
      <c r="S22" s="34"/>
      <c r="T22" s="34"/>
      <c r="V22" s="185"/>
      <c r="W22" s="185"/>
      <c r="X22" s="185"/>
    </row>
    <row r="23" spans="2:24" s="1" customFormat="1" ht="45" customHeight="1" x14ac:dyDescent="0.2">
      <c r="C23" s="97"/>
      <c r="D23" s="26" t="str">
        <f>+'OPERACIONES-MEDIOS-PROBABILIDAD'!C25</f>
        <v>REPOSITORIO FÍSICO</v>
      </c>
      <c r="E23" s="73">
        <f>'OPERACIONES-MEDIOS-PROBABILIDAD'!H25</f>
        <v>0</v>
      </c>
      <c r="F23" s="27" t="str">
        <f t="shared" si="4"/>
        <v>MÍNIMO</v>
      </c>
      <c r="G23" s="19">
        <f>'DERECHOS Y LIBERTADES AFECTADOS'!I12</f>
        <v>0</v>
      </c>
      <c r="H23" s="19" t="str">
        <f t="shared" si="5"/>
        <v>MEDIA BAJA</v>
      </c>
      <c r="I23" s="19">
        <f>'OPERACIONES-MEDIOS-PROBABILIDAD'!I25</f>
        <v>3</v>
      </c>
      <c r="J23" s="31"/>
      <c r="K23" s="19" t="str">
        <f t="shared" si="6"/>
        <v>MÍNIMO-ESTIMADO</v>
      </c>
      <c r="L23" s="20">
        <f t="shared" si="0"/>
        <v>0</v>
      </c>
      <c r="N23" s="34"/>
      <c r="O23" s="34"/>
      <c r="P23" s="34"/>
      <c r="Q23" s="34"/>
      <c r="R23" s="34"/>
      <c r="S23" s="34"/>
      <c r="T23" s="34"/>
      <c r="V23" s="185"/>
      <c r="W23" s="185"/>
      <c r="X23" s="185"/>
    </row>
    <row r="24" spans="2:24" s="1" customFormat="1" ht="45" customHeight="1" x14ac:dyDescent="0.2">
      <c r="C24" s="97"/>
      <c r="D24" s="26" t="str">
        <f>+'OPERACIONES-MEDIOS-PROBABILIDAD'!C26</f>
        <v>LAPTOP DEL MÉDICO OCUPACIONAL</v>
      </c>
      <c r="E24" s="73">
        <f>'OPERACIONES-MEDIOS-PROBABILIDAD'!H26</f>
        <v>0</v>
      </c>
      <c r="F24" s="27" t="str">
        <f t="shared" si="4"/>
        <v>MÍNIMO</v>
      </c>
      <c r="G24" s="19">
        <f>'DERECHOS Y LIBERTADES AFECTADOS'!I13</f>
        <v>0</v>
      </c>
      <c r="H24" s="19" t="str">
        <f t="shared" si="5"/>
        <v>MEDIA BAJA</v>
      </c>
      <c r="I24" s="19">
        <f>'OPERACIONES-MEDIOS-PROBABILIDAD'!I26</f>
        <v>3</v>
      </c>
      <c r="J24" s="31"/>
      <c r="K24" s="19" t="str">
        <f t="shared" si="6"/>
        <v>MÍNIMO-ESTIMADO</v>
      </c>
      <c r="L24" s="20">
        <f t="shared" si="0"/>
        <v>0</v>
      </c>
      <c r="N24" s="34"/>
      <c r="O24" s="34"/>
      <c r="P24" s="34"/>
      <c r="Q24" s="34"/>
      <c r="R24" s="34"/>
      <c r="S24" s="34"/>
      <c r="T24" s="34"/>
      <c r="V24" s="185"/>
      <c r="W24" s="185"/>
      <c r="X24" s="185"/>
    </row>
    <row r="25" spans="2:24" s="1" customFormat="1" ht="45" customHeight="1" x14ac:dyDescent="0.2">
      <c r="C25" s="97"/>
      <c r="D25" s="26" t="str">
        <f>+'OPERACIONES-MEDIOS-PROBABILIDAD'!C27</f>
        <v>FIREWALL</v>
      </c>
      <c r="E25" s="73">
        <f>'OPERACIONES-MEDIOS-PROBABILIDAD'!H27</f>
        <v>0</v>
      </c>
      <c r="F25" s="27" t="str">
        <f t="shared" si="4"/>
        <v>MÍNIMO</v>
      </c>
      <c r="G25" s="19">
        <f>'DERECHOS Y LIBERTADES AFECTADOS'!I14</f>
        <v>0</v>
      </c>
      <c r="H25" s="19" t="str">
        <f t="shared" si="5"/>
        <v>MEDIA BAJA</v>
      </c>
      <c r="I25" s="19">
        <f>'OPERACIONES-MEDIOS-PROBABILIDAD'!I27</f>
        <v>3</v>
      </c>
      <c r="J25" s="31"/>
      <c r="K25" s="19" t="str">
        <f t="shared" si="6"/>
        <v>MÍNIMO-ESTIMADO</v>
      </c>
      <c r="L25" s="20">
        <f t="shared" si="0"/>
        <v>0</v>
      </c>
      <c r="N25" s="34"/>
      <c r="O25" s="34"/>
      <c r="P25" s="34"/>
      <c r="Q25" s="34"/>
      <c r="R25" s="34"/>
      <c r="S25" s="34"/>
      <c r="T25" s="34"/>
      <c r="V25" s="185"/>
      <c r="W25" s="185"/>
      <c r="X25" s="185"/>
    </row>
    <row r="26" spans="2:24" s="1" customFormat="1" ht="45" customHeight="1" x14ac:dyDescent="0.2">
      <c r="C26" s="97"/>
      <c r="D26" s="26" t="str">
        <f>+'OPERACIONES-MEDIOS-PROBABILIDAD'!C28</f>
        <v>ANTIVIRUS</v>
      </c>
      <c r="E26" s="73">
        <f>'OPERACIONES-MEDIOS-PROBABILIDAD'!H28</f>
        <v>0</v>
      </c>
      <c r="F26" s="27" t="str">
        <f t="shared" si="4"/>
        <v>MÍNIMO</v>
      </c>
      <c r="G26" s="19">
        <f>'DERECHOS Y LIBERTADES AFECTADOS'!I15</f>
        <v>0</v>
      </c>
      <c r="H26" s="19" t="str">
        <f t="shared" si="5"/>
        <v>MEDIA BAJA</v>
      </c>
      <c r="I26" s="19">
        <f>'OPERACIONES-MEDIOS-PROBABILIDAD'!I28</f>
        <v>3</v>
      </c>
      <c r="J26" s="31"/>
      <c r="K26" s="19" t="str">
        <f t="shared" si="6"/>
        <v>MÍNIMO-ESTIMADO</v>
      </c>
      <c r="L26" s="20">
        <f t="shared" si="0"/>
        <v>0</v>
      </c>
      <c r="N26" s="34"/>
      <c r="O26" s="34"/>
      <c r="P26" s="34"/>
      <c r="Q26" s="34"/>
      <c r="R26" s="34"/>
      <c r="S26" s="34"/>
      <c r="T26" s="34"/>
      <c r="V26" s="185"/>
      <c r="W26" s="185"/>
      <c r="X26" s="185"/>
    </row>
    <row r="27" spans="2:24" s="1" customFormat="1" ht="45" customHeight="1" x14ac:dyDescent="0.2">
      <c r="C27" s="97"/>
      <c r="D27" s="26"/>
      <c r="E27" s="72"/>
      <c r="F27" s="27"/>
      <c r="G27" s="19"/>
      <c r="H27" s="19"/>
      <c r="I27" s="19"/>
      <c r="J27" s="31"/>
      <c r="K27" s="19"/>
      <c r="L27" s="19"/>
      <c r="N27" s="34"/>
      <c r="O27" s="34"/>
      <c r="P27" s="34"/>
      <c r="Q27" s="34"/>
      <c r="R27" s="34"/>
      <c r="S27" s="34"/>
      <c r="T27" s="34"/>
      <c r="V27" s="185"/>
      <c r="W27" s="185"/>
      <c r="X27" s="185"/>
    </row>
    <row r="28" spans="2:24" s="1" customFormat="1" ht="45" customHeight="1" x14ac:dyDescent="0.2">
      <c r="C28" s="97"/>
      <c r="D28" s="26"/>
      <c r="E28" s="72"/>
      <c r="F28" s="27"/>
      <c r="G28" s="19"/>
      <c r="H28" s="19"/>
      <c r="I28" s="19"/>
      <c r="J28" s="31"/>
      <c r="K28" s="19"/>
      <c r="L28" s="19"/>
      <c r="N28" s="34"/>
      <c r="O28" s="34"/>
      <c r="P28" s="34"/>
      <c r="Q28" s="34"/>
      <c r="R28" s="34"/>
      <c r="S28" s="34"/>
      <c r="T28" s="34"/>
      <c r="V28" s="185"/>
      <c r="W28" s="185"/>
      <c r="X28" s="185"/>
    </row>
    <row r="29" spans="2:24" s="1" customFormat="1" ht="45" customHeight="1" x14ac:dyDescent="0.2">
      <c r="C29" s="98"/>
      <c r="D29" s="26"/>
      <c r="E29" s="72"/>
      <c r="F29" s="27"/>
      <c r="G29" s="19"/>
      <c r="H29" s="19"/>
      <c r="I29" s="19"/>
      <c r="J29" s="31"/>
      <c r="K29" s="19"/>
      <c r="L29" s="19"/>
      <c r="N29" s="34"/>
      <c r="O29" s="34"/>
      <c r="P29" s="34"/>
      <c r="Q29" s="34"/>
      <c r="R29" s="34"/>
      <c r="S29" s="34"/>
      <c r="T29" s="34"/>
      <c r="V29" s="185"/>
      <c r="W29" s="185"/>
      <c r="X29" s="185"/>
    </row>
    <row r="30" spans="2:24" x14ac:dyDescent="0.2">
      <c r="F30" s="6"/>
      <c r="N30" s="1"/>
    </row>
  </sheetData>
  <sheetProtection algorithmName="SHA-512" hashValue="Hw0SoFYjkrclZZkDT0sTvo/TJULww1+eGPvtpc83wR80cpZ5QiAASUgUrVEJfAwW4xOlX9QSIFlEHPvcdutquA==" saltValue="0Paseom4jmpoEdcRJykbVA==" spinCount="100000" sheet="1" selectLockedCells="1"/>
  <mergeCells count="24">
    <mergeCell ref="N3:S5"/>
    <mergeCell ref="N7:T7"/>
    <mergeCell ref="Q9:R9"/>
    <mergeCell ref="S9:T9"/>
    <mergeCell ref="C11:C18"/>
    <mergeCell ref="V10:X10"/>
    <mergeCell ref="V11:X11"/>
    <mergeCell ref="V12:X12"/>
    <mergeCell ref="V13:X13"/>
    <mergeCell ref="V14:X14"/>
    <mergeCell ref="V15:X15"/>
    <mergeCell ref="V16:X16"/>
    <mergeCell ref="V17:X17"/>
    <mergeCell ref="V18:X18"/>
    <mergeCell ref="V20:X20"/>
    <mergeCell ref="V26:X26"/>
    <mergeCell ref="V27:X27"/>
    <mergeCell ref="V28:X28"/>
    <mergeCell ref="V29:X29"/>
    <mergeCell ref="V21:X21"/>
    <mergeCell ref="V22:X22"/>
    <mergeCell ref="V23:X23"/>
    <mergeCell ref="V24:X24"/>
    <mergeCell ref="V25:X25"/>
  </mergeCells>
  <conditionalFormatting sqref="L11:L18 L21:L26">
    <cfRule type="cellIs" dxfId="3" priority="31" operator="greaterThanOrEqual">
      <formula>12</formula>
    </cfRule>
    <cfRule type="cellIs" dxfId="2" priority="32" operator="between">
      <formula>6.01</formula>
      <formula>11.99</formula>
    </cfRule>
    <cfRule type="cellIs" dxfId="1" priority="33" operator="between">
      <formula>2.01</formula>
      <formula>7</formula>
    </cfRule>
    <cfRule type="cellIs" dxfId="0" priority="34" operator="lessThanOrEqual">
      <formula>2</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Hojas de cálculo</vt:lpstr>
      </vt:variant>
      <vt:variant>
        <vt:i4>5</vt:i4>
      </vt:variant>
    </vt:vector>
  </HeadingPairs>
  <TitlesOfParts>
    <vt:vector size="5" baseType="lpstr">
      <vt:lpstr>CRITERIOS CELDAS RAT-MTGE</vt:lpstr>
      <vt:lpstr>RAT-MTGE MEDICINA OCUPACIONAL</vt:lpstr>
      <vt:lpstr>DERECHOS Y LIBERTADES AFECTADOS</vt:lpstr>
      <vt:lpstr>OPERACIONES-MEDIOS-PROBABILIDAD</vt:lpstr>
      <vt:lpstr>RIESGO Y MITIGADORES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FE-PDP&amp;GESTIÓN</dc:creator>
  <cp:lastModifiedBy>Freddy Villavicencio</cp:lastModifiedBy>
  <cp:lastPrinted>2026-03-26T15:59:43Z</cp:lastPrinted>
  <dcterms:created xsi:type="dcterms:W3CDTF">2026-03-22T21:26:06Z</dcterms:created>
  <dcterms:modified xsi:type="dcterms:W3CDTF">2026-06-08T17:41:51Z</dcterms:modified>
</cp:coreProperties>
</file>